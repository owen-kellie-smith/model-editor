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t" sheetId="1" state="visible" r:id="rId3"/>
    <sheet name="table_cohort_data" sheetId="2" state="visible" r:id="rId4"/>
    <sheet name="table_mortality_rate" sheetId="3" state="visible" r:id="rId5"/>
    <sheet name="table_spot_rate" sheetId="4" state="visible" r:id="rId6"/>
    <sheet name="calc_cohort" sheetId="5" state="visible" r:id="rId7"/>
    <sheet name="calc_cohort_step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<sst xmlns="http://schemas.openxmlformats.org/spreadsheetml/2006/main" count="42" uniqueCount="29">
  <si>
    <t xml:space="preserve">step_length</t>
  </si>
  <si>
    <t xml:space="preserve">id</t>
  </si>
  <si>
    <t xml:space="preserve">annual_annuity_amount</t>
  </si>
  <si>
    <t xml:space="preserve">annuity_start_age</t>
  </si>
  <si>
    <t xml:space="preserve">current_age</t>
  </si>
  <si>
    <t xml:space="preserve">mortality_table</t>
  </si>
  <si>
    <t xml:space="preserve">dataType</t>
  </si>
  <si>
    <t xml:space="preserve">real</t>
  </si>
  <si>
    <t xml:space="preserve">string</t>
  </si>
  <si>
    <t xml:space="preserve">unit</t>
  </si>
  <si>
    <t xml:space="preserve">GBP per year</t>
  </si>
  <si>
    <t xml:space="preserve">years</t>
  </si>
  <si>
    <t xml:space="preserve">cohort</t>
  </si>
  <si>
    <t xml:space="preserve">AM92U</t>
  </si>
  <si>
    <t xml:space="preserve">AF92U</t>
  </si>
  <si>
    <t xml:space="preserve">age</t>
  </si>
  <si>
    <t xml:space="preserve">step</t>
  </si>
  <si>
    <t xml:space="preserve">rate</t>
  </si>
  <si>
    <t xml:space="preserve">attained_age</t>
  </si>
  <si>
    <t xml:space="preserve">attained_age_years_floor</t>
  </si>
  <si>
    <t xml:space="preserve">annual_mortality_rate</t>
  </si>
  <si>
    <t xml:space="preserve">monthly_survival_rate</t>
  </si>
  <si>
    <t xml:space="preserve">survival_to_start_of_step</t>
  </si>
  <si>
    <t xml:space="preserve">payable_at_start_of_step</t>
  </si>
  <si>
    <t xml:space="preserve">payment_indicator</t>
  </si>
  <si>
    <t xml:space="preserve">cashflow</t>
  </si>
  <si>
    <t xml:space="preserve">spot_rate</t>
  </si>
  <si>
    <t xml:space="preserve">discount_factor</t>
  </si>
  <si>
    <t xml:space="preserve">discounted_cashflow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</si>
</sst>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9966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utr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1.69"/>
  </cols>
  <sheetData>
    <row r="1" customFormat="false" ht="12.8" hidden="false" customHeight="false" outlineLevel="0" collapsed="false">
      <c r="A1" s="0" t="s">
        <v>0</v>
      </c>
      <c r="B1" s="0" t="n">
        <f aca="false">1/12</f>
        <v>0.0833333333333333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11</v>
      </c>
    </row>
    <row r="4" customFormat="false" ht="12.8" hidden="false" customHeight="false" outlineLevel="0" collapsed="false">
      <c r="A4" s="1" t="s">
        <v>12</v>
      </c>
    </row>
    <row r="5" customFormat="false" ht="12.8" hidden="false" customHeight="false" outlineLevel="0" collapsed="false">
      <c r="A5" s="0" t="n">
        <v>1</v>
      </c>
      <c r="B5" s="0" t="n">
        <v>12.34</v>
      </c>
      <c r="C5" s="0" t="n">
        <v>61</v>
      </c>
      <c r="D5" s="0" t="n">
        <v>31.2</v>
      </c>
      <c r="E5" s="1" t="s">
        <v>13</v>
      </c>
    </row>
    <row r="6" customFormat="false" ht="12.8" hidden="false" customHeight="false" outlineLevel="0" collapsed="false">
      <c r="A6" s="0" t="n">
        <v>2</v>
      </c>
      <c r="B6" s="0" t="n">
        <v>23.45</v>
      </c>
      <c r="C6" s="0" t="n">
        <v>62</v>
      </c>
      <c r="D6" s="0" t="n">
        <v>32.3</v>
      </c>
      <c r="E6" s="1" t="s">
        <v>13</v>
      </c>
    </row>
    <row r="7" customFormat="false" ht="12.8" hidden="false" customHeight="false" outlineLevel="0" collapsed="false">
      <c r="A7" s="0" t="n">
        <v>3</v>
      </c>
      <c r="B7" s="0" t="n">
        <v>34.56</v>
      </c>
      <c r="C7" s="0" t="n">
        <v>63</v>
      </c>
      <c r="D7" s="0" t="n">
        <v>33.4</v>
      </c>
      <c r="E7" s="1" t="s">
        <v>14</v>
      </c>
    </row>
    <row r="8" customFormat="false" ht="12.8" hidden="false" customHeight="false" outlineLevel="0" collapsed="false">
      <c r="A8" s="0" t="n">
        <v>4</v>
      </c>
      <c r="B8" s="0" t="n">
        <v>45.67</v>
      </c>
      <c r="C8" s="0" t="n">
        <v>64</v>
      </c>
      <c r="D8" s="0" t="n">
        <v>34.5</v>
      </c>
      <c r="E8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</v>
      </c>
      <c r="B1" s="0" t="s">
        <v>13</v>
      </c>
      <c r="C1" s="0" t="s">
        <v>14</v>
      </c>
    </row>
    <row r="2" customFormat="false" ht="14.65" hidden="false" customHeight="false" outlineLevel="0" collapsed="false">
      <c r="A2" s="0" t="n">
        <v>17</v>
      </c>
      <c r="B2" s="2" t="n">
        <v>0.0006</v>
      </c>
      <c r="C2" s="2" t="n">
        <v>0.000172</v>
      </c>
    </row>
    <row r="3" customFormat="false" ht="14.65" hidden="false" customHeight="false" outlineLevel="0" collapsed="false">
      <c r="A3" s="0" t="n">
        <v>18</v>
      </c>
      <c r="B3" s="2" t="n">
        <v>0.000594</v>
      </c>
      <c r="C3" s="2" t="n">
        <v>0.000178</v>
      </c>
    </row>
    <row r="4" customFormat="false" ht="14.65" hidden="false" customHeight="false" outlineLevel="0" collapsed="false">
      <c r="A4" s="0" t="n">
        <v>19</v>
      </c>
      <c r="B4" s="2" t="n">
        <v>0.000587</v>
      </c>
      <c r="C4" s="2" t="n">
        <v>0.000185</v>
      </c>
    </row>
    <row r="5" customFormat="false" ht="14.65" hidden="false" customHeight="false" outlineLevel="0" collapsed="false">
      <c r="A5" s="0" t="n">
        <v>20</v>
      </c>
      <c r="B5" s="2" t="n">
        <v>0.000582</v>
      </c>
      <c r="C5" s="2" t="n">
        <v>0.000193</v>
      </c>
    </row>
    <row r="6" customFormat="false" ht="14.65" hidden="false" customHeight="false" outlineLevel="0" collapsed="false">
      <c r="A6" s="0" t="n">
        <v>21</v>
      </c>
      <c r="B6" s="2" t="n">
        <v>0.000577</v>
      </c>
      <c r="C6" s="2" t="n">
        <v>0.000202</v>
      </c>
    </row>
    <row r="7" customFormat="false" ht="14.65" hidden="false" customHeight="false" outlineLevel="0" collapsed="false">
      <c r="A7" s="0" t="n">
        <v>22</v>
      </c>
      <c r="B7" s="2" t="n">
        <v>0.000572</v>
      </c>
      <c r="C7" s="2" t="n">
        <v>0.000212</v>
      </c>
    </row>
    <row r="8" customFormat="false" ht="14.65" hidden="false" customHeight="false" outlineLevel="0" collapsed="false">
      <c r="A8" s="0" t="n">
        <v>23</v>
      </c>
      <c r="B8" s="2" t="n">
        <v>0.000569</v>
      </c>
      <c r="C8" s="2" t="n">
        <v>0.000223</v>
      </c>
    </row>
    <row r="9" customFormat="false" ht="14.65" hidden="false" customHeight="false" outlineLevel="0" collapsed="false">
      <c r="A9" s="0" t="n">
        <v>24</v>
      </c>
      <c r="B9" s="2" t="n">
        <v>0.000567</v>
      </c>
      <c r="C9" s="2" t="n">
        <v>0.000235</v>
      </c>
    </row>
    <row r="10" customFormat="false" ht="14.65" hidden="false" customHeight="false" outlineLevel="0" collapsed="false">
      <c r="A10" s="0" t="n">
        <v>25</v>
      </c>
      <c r="B10" s="2" t="n">
        <v>0.000566</v>
      </c>
      <c r="C10" s="2" t="n">
        <v>0.000248</v>
      </c>
    </row>
    <row r="11" customFormat="false" ht="14.65" hidden="false" customHeight="false" outlineLevel="0" collapsed="false">
      <c r="A11" s="0" t="n">
        <v>26</v>
      </c>
      <c r="B11" s="2" t="n">
        <v>0.000567</v>
      </c>
      <c r="C11" s="2" t="n">
        <v>0.000263</v>
      </c>
    </row>
    <row r="12" customFormat="false" ht="14.65" hidden="false" customHeight="false" outlineLevel="0" collapsed="false">
      <c r="A12" s="0" t="n">
        <v>27</v>
      </c>
      <c r="B12" s="2" t="n">
        <v>0.00057</v>
      </c>
      <c r="C12" s="2" t="n">
        <v>0.000279</v>
      </c>
    </row>
    <row r="13" customFormat="false" ht="14.65" hidden="false" customHeight="false" outlineLevel="0" collapsed="false">
      <c r="A13" s="0" t="n">
        <v>28</v>
      </c>
      <c r="B13" s="2" t="n">
        <v>0.000574</v>
      </c>
      <c r="C13" s="2" t="n">
        <v>0.000297</v>
      </c>
    </row>
    <row r="14" customFormat="false" ht="14.65" hidden="false" customHeight="false" outlineLevel="0" collapsed="false">
      <c r="A14" s="0" t="n">
        <v>29</v>
      </c>
      <c r="B14" s="2" t="n">
        <v>0.00058</v>
      </c>
      <c r="C14" s="2" t="n">
        <v>0.000317</v>
      </c>
    </row>
    <row r="15" customFormat="false" ht="14.65" hidden="false" customHeight="false" outlineLevel="0" collapsed="false">
      <c r="A15" s="0" t="n">
        <v>30</v>
      </c>
      <c r="B15" s="2" t="n">
        <v>0.00059</v>
      </c>
      <c r="C15" s="2" t="n">
        <v>0.000339</v>
      </c>
    </row>
    <row r="16" customFormat="false" ht="14.65" hidden="false" customHeight="false" outlineLevel="0" collapsed="false">
      <c r="A16" s="0" t="n">
        <v>31</v>
      </c>
      <c r="B16" s="2" t="n">
        <v>0.000602</v>
      </c>
      <c r="C16" s="2" t="n">
        <v>0.000364</v>
      </c>
    </row>
    <row r="17" customFormat="false" ht="14.65" hidden="false" customHeight="false" outlineLevel="0" collapsed="false">
      <c r="A17" s="0" t="n">
        <v>32</v>
      </c>
      <c r="B17" s="2" t="n">
        <v>0.000617</v>
      </c>
      <c r="C17" s="2" t="n">
        <v>0.000391</v>
      </c>
    </row>
    <row r="18" customFormat="false" ht="14.65" hidden="false" customHeight="false" outlineLevel="0" collapsed="false">
      <c r="A18" s="0" t="n">
        <v>33</v>
      </c>
      <c r="B18" s="2" t="n">
        <v>0.000636</v>
      </c>
      <c r="C18" s="2" t="n">
        <v>0.000422</v>
      </c>
    </row>
    <row r="19" customFormat="false" ht="14.65" hidden="false" customHeight="false" outlineLevel="0" collapsed="false">
      <c r="A19" s="0" t="n">
        <v>34</v>
      </c>
      <c r="B19" s="2" t="n">
        <v>0.00066</v>
      </c>
      <c r="C19" s="2" t="n">
        <v>0.000455</v>
      </c>
    </row>
    <row r="20" customFormat="false" ht="14.65" hidden="false" customHeight="false" outlineLevel="0" collapsed="false">
      <c r="A20" s="0" t="n">
        <v>35</v>
      </c>
      <c r="B20" s="2" t="n">
        <v>0.000689</v>
      </c>
      <c r="C20" s="2" t="n">
        <v>0.000492</v>
      </c>
    </row>
    <row r="21" customFormat="false" ht="14.65" hidden="false" customHeight="false" outlineLevel="0" collapsed="false">
      <c r="A21" s="0" t="n">
        <v>36</v>
      </c>
      <c r="B21" s="2" t="n">
        <v>0.000724</v>
      </c>
      <c r="C21" s="2" t="n">
        <v>0.000533</v>
      </c>
    </row>
    <row r="22" customFormat="false" ht="14.65" hidden="false" customHeight="false" outlineLevel="0" collapsed="false">
      <c r="A22" s="0" t="n">
        <v>37</v>
      </c>
      <c r="B22" s="2" t="n">
        <v>0.000765</v>
      </c>
      <c r="C22" s="2" t="n">
        <v>0.000579</v>
      </c>
    </row>
    <row r="23" customFormat="false" ht="14.65" hidden="false" customHeight="false" outlineLevel="0" collapsed="false">
      <c r="A23" s="0" t="n">
        <v>38</v>
      </c>
      <c r="B23" s="2" t="n">
        <v>0.000813</v>
      </c>
      <c r="C23" s="2" t="n">
        <v>0.000629</v>
      </c>
    </row>
    <row r="24" customFormat="false" ht="14.65" hidden="false" customHeight="false" outlineLevel="0" collapsed="false">
      <c r="A24" s="0" t="n">
        <v>39</v>
      </c>
      <c r="B24" s="2" t="n">
        <v>0.00087</v>
      </c>
      <c r="C24" s="2" t="n">
        <v>0.000685</v>
      </c>
    </row>
    <row r="25" customFormat="false" ht="14.65" hidden="false" customHeight="false" outlineLevel="0" collapsed="false">
      <c r="A25" s="0" t="n">
        <v>40</v>
      </c>
      <c r="B25" s="2" t="n">
        <v>0.000937</v>
      </c>
      <c r="C25" s="2" t="n">
        <v>0.000747</v>
      </c>
    </row>
    <row r="26" customFormat="false" ht="14.65" hidden="false" customHeight="false" outlineLevel="0" collapsed="false">
      <c r="A26" s="0" t="n">
        <v>41</v>
      </c>
      <c r="B26" s="2" t="n">
        <v>0.001014</v>
      </c>
      <c r="C26" s="2" t="n">
        <v>0.000816</v>
      </c>
    </row>
    <row r="27" customFormat="false" ht="14.65" hidden="false" customHeight="false" outlineLevel="0" collapsed="false">
      <c r="A27" s="0" t="n">
        <v>42</v>
      </c>
      <c r="B27" s="2" t="n">
        <v>0.001104</v>
      </c>
      <c r="C27" s="2" t="n">
        <v>0.000892</v>
      </c>
    </row>
    <row r="28" customFormat="false" ht="14.65" hidden="false" customHeight="false" outlineLevel="0" collapsed="false">
      <c r="A28" s="0" t="n">
        <v>43</v>
      </c>
      <c r="B28" s="2" t="n">
        <v>0.001208</v>
      </c>
      <c r="C28" s="2" t="n">
        <v>0.000977</v>
      </c>
    </row>
    <row r="29" customFormat="false" ht="14.65" hidden="false" customHeight="false" outlineLevel="0" collapsed="false">
      <c r="A29" s="0" t="n">
        <v>44</v>
      </c>
      <c r="B29" s="2" t="n">
        <v>0.001327</v>
      </c>
      <c r="C29" s="2" t="n">
        <v>0.00107</v>
      </c>
    </row>
    <row r="30" customFormat="false" ht="14.65" hidden="false" customHeight="false" outlineLevel="0" collapsed="false">
      <c r="A30" s="0" t="n">
        <v>45</v>
      </c>
      <c r="B30" s="2" t="n">
        <v>0.001465</v>
      </c>
      <c r="C30" s="2" t="n">
        <v>0.001174</v>
      </c>
    </row>
    <row r="31" customFormat="false" ht="14.65" hidden="false" customHeight="false" outlineLevel="0" collapsed="false">
      <c r="A31" s="0" t="n">
        <v>46</v>
      </c>
      <c r="B31" s="2" t="n">
        <v>0.001622</v>
      </c>
      <c r="C31" s="2" t="n">
        <v>0.001288</v>
      </c>
    </row>
    <row r="32" customFormat="false" ht="14.65" hidden="false" customHeight="false" outlineLevel="0" collapsed="false">
      <c r="A32" s="0" t="n">
        <v>47</v>
      </c>
      <c r="B32" s="2" t="n">
        <v>0.001802</v>
      </c>
      <c r="C32" s="2" t="n">
        <v>0.001416</v>
      </c>
    </row>
    <row r="33" customFormat="false" ht="14.65" hidden="false" customHeight="false" outlineLevel="0" collapsed="false">
      <c r="A33" s="0" t="n">
        <v>48</v>
      </c>
      <c r="B33" s="2" t="n">
        <v>0.002008</v>
      </c>
      <c r="C33" s="2" t="n">
        <v>0.001556</v>
      </c>
    </row>
    <row r="34" customFormat="false" ht="14.65" hidden="false" customHeight="false" outlineLevel="0" collapsed="false">
      <c r="A34" s="0" t="n">
        <v>49</v>
      </c>
      <c r="B34" s="2" t="n">
        <v>0.002241</v>
      </c>
      <c r="C34" s="2" t="n">
        <v>0.001713</v>
      </c>
    </row>
    <row r="35" customFormat="false" ht="14.65" hidden="false" customHeight="false" outlineLevel="0" collapsed="false">
      <c r="A35" s="0" t="n">
        <v>50</v>
      </c>
      <c r="B35" s="2" t="n">
        <v>0.002508</v>
      </c>
      <c r="C35" s="2" t="n">
        <v>0.001886</v>
      </c>
    </row>
    <row r="36" customFormat="false" ht="14.65" hidden="false" customHeight="false" outlineLevel="0" collapsed="false">
      <c r="A36" s="0" t="n">
        <v>51</v>
      </c>
      <c r="B36" s="2" t="n">
        <v>0.002809</v>
      </c>
      <c r="C36" s="2" t="n">
        <v>0.002077</v>
      </c>
    </row>
    <row r="37" customFormat="false" ht="14.65" hidden="false" customHeight="false" outlineLevel="0" collapsed="false">
      <c r="A37" s="0" t="n">
        <v>52</v>
      </c>
      <c r="B37" s="2" t="n">
        <v>0.003152</v>
      </c>
      <c r="C37" s="2" t="n">
        <v>0.00229</v>
      </c>
    </row>
    <row r="38" customFormat="false" ht="14.65" hidden="false" customHeight="false" outlineLevel="0" collapsed="false">
      <c r="A38" s="0" t="n">
        <v>53</v>
      </c>
      <c r="B38" s="2" t="n">
        <v>0.003539</v>
      </c>
      <c r="C38" s="2" t="n">
        <v>0.002525</v>
      </c>
    </row>
    <row r="39" customFormat="false" ht="14.65" hidden="false" customHeight="false" outlineLevel="0" collapsed="false">
      <c r="A39" s="0" t="n">
        <v>54</v>
      </c>
      <c r="B39" s="2" t="n">
        <v>0.003976</v>
      </c>
      <c r="C39" s="2" t="n">
        <v>0.002786</v>
      </c>
    </row>
    <row r="40" customFormat="false" ht="14.65" hidden="false" customHeight="false" outlineLevel="0" collapsed="false">
      <c r="A40" s="0" t="n">
        <v>55</v>
      </c>
      <c r="B40" s="2" t="n">
        <v>0.004469</v>
      </c>
      <c r="C40" s="2" t="n">
        <v>0.003075</v>
      </c>
    </row>
    <row r="41" customFormat="false" ht="14.65" hidden="false" customHeight="false" outlineLevel="0" collapsed="false">
      <c r="A41" s="0" t="n">
        <v>56</v>
      </c>
      <c r="B41" s="2" t="n">
        <v>0.005025</v>
      </c>
      <c r="C41" s="2" t="n">
        <v>0.003395</v>
      </c>
    </row>
    <row r="42" customFormat="false" ht="14.65" hidden="false" customHeight="false" outlineLevel="0" collapsed="false">
      <c r="A42" s="0" t="n">
        <v>57</v>
      </c>
      <c r="B42" s="2" t="n">
        <v>0.00565</v>
      </c>
      <c r="C42" s="2" t="n">
        <v>0.003749</v>
      </c>
    </row>
    <row r="43" customFormat="false" ht="14.65" hidden="false" customHeight="false" outlineLevel="0" collapsed="false">
      <c r="A43" s="0" t="n">
        <v>58</v>
      </c>
      <c r="B43" s="2" t="n">
        <v>0.006352</v>
      </c>
      <c r="C43" s="2" t="n">
        <v>0.004142</v>
      </c>
    </row>
    <row r="44" customFormat="false" ht="14.65" hidden="false" customHeight="false" outlineLevel="0" collapsed="false">
      <c r="A44" s="0" t="n">
        <v>59</v>
      </c>
      <c r="B44" s="2" t="n">
        <v>0.00714</v>
      </c>
      <c r="C44" s="2" t="n">
        <v>0.004577</v>
      </c>
    </row>
    <row r="45" customFormat="false" ht="14.65" hidden="false" customHeight="false" outlineLevel="0" collapsed="false">
      <c r="A45" s="0" t="n">
        <v>60</v>
      </c>
      <c r="B45" s="2" t="n">
        <v>0.008022</v>
      </c>
      <c r="C45" s="2" t="n">
        <v>0.005058</v>
      </c>
    </row>
    <row r="46" customFormat="false" ht="14.65" hidden="false" customHeight="false" outlineLevel="0" collapsed="false">
      <c r="A46" s="0" t="n">
        <v>61</v>
      </c>
      <c r="B46" s="2" t="n">
        <v>0.009009</v>
      </c>
      <c r="C46" s="2" t="n">
        <v>0.005592</v>
      </c>
    </row>
    <row r="47" customFormat="false" ht="14.65" hidden="false" customHeight="false" outlineLevel="0" collapsed="false">
      <c r="A47" s="0" t="n">
        <v>62</v>
      </c>
      <c r="B47" s="2" t="n">
        <v>0.010112</v>
      </c>
      <c r="C47" s="2" t="n">
        <v>0.006183</v>
      </c>
    </row>
    <row r="48" customFormat="false" ht="14.65" hidden="false" customHeight="false" outlineLevel="0" collapsed="false">
      <c r="A48" s="0" t="n">
        <v>63</v>
      </c>
      <c r="B48" s="2" t="n">
        <v>0.011344</v>
      </c>
      <c r="C48" s="2" t="n">
        <v>0.006838</v>
      </c>
    </row>
    <row r="49" customFormat="false" ht="14.65" hidden="false" customHeight="false" outlineLevel="0" collapsed="false">
      <c r="A49" s="0" t="n">
        <v>64</v>
      </c>
      <c r="B49" s="2" t="n">
        <v>0.012716</v>
      </c>
      <c r="C49" s="2" t="n">
        <v>0.007562</v>
      </c>
    </row>
    <row r="50" customFormat="false" ht="14.65" hidden="false" customHeight="false" outlineLevel="0" collapsed="false">
      <c r="A50" s="0" t="n">
        <v>65</v>
      </c>
      <c r="B50" s="2" t="n">
        <v>0.014243</v>
      </c>
      <c r="C50" s="2" t="n">
        <v>0.008365</v>
      </c>
    </row>
    <row r="51" customFormat="false" ht="14.65" hidden="false" customHeight="false" outlineLevel="0" collapsed="false">
      <c r="A51" s="0" t="n">
        <v>66</v>
      </c>
      <c r="B51" s="2" t="n">
        <v>0.01594</v>
      </c>
      <c r="C51" s="2" t="n">
        <v>0.009254</v>
      </c>
    </row>
    <row r="52" customFormat="false" ht="14.65" hidden="false" customHeight="false" outlineLevel="0" collapsed="false">
      <c r="A52" s="0" t="n">
        <v>67</v>
      </c>
      <c r="B52" s="2" t="n">
        <v>0.017824</v>
      </c>
      <c r="C52" s="2" t="n">
        <v>0.010238</v>
      </c>
    </row>
    <row r="53" customFormat="false" ht="14.65" hidden="false" customHeight="false" outlineLevel="0" collapsed="false">
      <c r="A53" s="0" t="n">
        <v>68</v>
      </c>
      <c r="B53" s="2" t="n">
        <v>0.019913</v>
      </c>
      <c r="C53" s="2" t="n">
        <v>0.011327</v>
      </c>
    </row>
    <row r="54" customFormat="false" ht="14.65" hidden="false" customHeight="false" outlineLevel="0" collapsed="false">
      <c r="A54" s="0" t="n">
        <v>69</v>
      </c>
      <c r="B54" s="2" t="n">
        <v>0.022226</v>
      </c>
      <c r="C54" s="2" t="n">
        <v>0.012533</v>
      </c>
    </row>
    <row r="55" customFormat="false" ht="14.65" hidden="false" customHeight="false" outlineLevel="0" collapsed="false">
      <c r="A55" s="0" t="n">
        <v>70</v>
      </c>
      <c r="B55" s="2" t="n">
        <v>0.024783</v>
      </c>
      <c r="C55" s="2" t="n">
        <v>0.013867</v>
      </c>
    </row>
    <row r="56" customFormat="false" ht="14.65" hidden="false" customHeight="false" outlineLevel="0" collapsed="false">
      <c r="A56" s="0" t="n">
        <v>71</v>
      </c>
      <c r="B56" s="2" t="n">
        <v>0.027606</v>
      </c>
      <c r="C56" s="2" t="n">
        <v>0.015343</v>
      </c>
    </row>
    <row r="57" customFormat="false" ht="14.65" hidden="false" customHeight="false" outlineLevel="0" collapsed="false">
      <c r="A57" s="0" t="n">
        <v>72</v>
      </c>
      <c r="B57" s="2" t="n">
        <v>0.030718</v>
      </c>
      <c r="C57" s="2" t="n">
        <v>0.016977</v>
      </c>
    </row>
    <row r="58" customFormat="false" ht="14.65" hidden="false" customHeight="false" outlineLevel="0" collapsed="false">
      <c r="A58" s="0" t="n">
        <v>73</v>
      </c>
      <c r="B58" s="2" t="n">
        <v>0.034144</v>
      </c>
      <c r="C58" s="2" t="n">
        <v>0.018784</v>
      </c>
    </row>
    <row r="59" customFormat="false" ht="14.65" hidden="false" customHeight="false" outlineLevel="0" collapsed="false">
      <c r="A59" s="0" t="n">
        <v>74</v>
      </c>
      <c r="B59" s="2" t="n">
        <v>0.037911</v>
      </c>
      <c r="C59" s="2" t="n">
        <v>0.020783</v>
      </c>
    </row>
    <row r="60" customFormat="false" ht="14.65" hidden="false" customHeight="false" outlineLevel="0" collapsed="false">
      <c r="A60" s="0" t="n">
        <v>75</v>
      </c>
      <c r="B60" s="2" t="n">
        <v>0.042046</v>
      </c>
      <c r="C60" s="2" t="n">
        <v>0.022994</v>
      </c>
    </row>
    <row r="61" customFormat="false" ht="14.65" hidden="false" customHeight="false" outlineLevel="0" collapsed="false">
      <c r="A61" s="0" t="n">
        <v>76</v>
      </c>
      <c r="B61" s="2" t="n">
        <v>0.046578</v>
      </c>
      <c r="C61" s="2" t="n">
        <v>0.025438</v>
      </c>
    </row>
    <row r="62" customFormat="false" ht="14.65" hidden="false" customHeight="false" outlineLevel="0" collapsed="false">
      <c r="A62" s="0" t="n">
        <v>77</v>
      </c>
      <c r="B62" s="2" t="n">
        <v>0.051538</v>
      </c>
      <c r="C62" s="2" t="n">
        <v>0.028138</v>
      </c>
    </row>
    <row r="63" customFormat="false" ht="14.65" hidden="false" customHeight="false" outlineLevel="0" collapsed="false">
      <c r="A63" s="0" t="n">
        <v>78</v>
      </c>
      <c r="B63" s="2" t="n">
        <v>0.056956</v>
      </c>
      <c r="C63" s="2" t="n">
        <v>0.031123</v>
      </c>
    </row>
    <row r="64" customFormat="false" ht="14.65" hidden="false" customHeight="false" outlineLevel="0" collapsed="false">
      <c r="A64" s="0" t="n">
        <v>79</v>
      </c>
      <c r="B64" s="2" t="n">
        <v>0.062867</v>
      </c>
      <c r="C64" s="2" t="n">
        <v>0.034419</v>
      </c>
    </row>
    <row r="65" customFormat="false" ht="14.65" hidden="false" customHeight="false" outlineLevel="0" collapsed="false">
      <c r="A65" s="0" t="n">
        <v>80</v>
      </c>
      <c r="B65" s="2" t="n">
        <v>0.069303</v>
      </c>
      <c r="C65" s="2" t="n">
        <v>0.038059</v>
      </c>
    </row>
    <row r="66" customFormat="false" ht="14.65" hidden="false" customHeight="false" outlineLevel="0" collapsed="false">
      <c r="A66" s="0" t="n">
        <v>81</v>
      </c>
      <c r="B66" s="2" t="n">
        <v>0.0763</v>
      </c>
      <c r="C66" s="2" t="n">
        <v>0.042077</v>
      </c>
    </row>
    <row r="67" customFormat="false" ht="14.65" hidden="false" customHeight="false" outlineLevel="0" collapsed="false">
      <c r="A67" s="0" t="n">
        <v>82</v>
      </c>
      <c r="B67" s="2" t="n">
        <v>0.083893</v>
      </c>
      <c r="C67" s="2" t="n">
        <v>0.04651</v>
      </c>
    </row>
    <row r="68" customFormat="false" ht="14.65" hidden="false" customHeight="false" outlineLevel="0" collapsed="false">
      <c r="A68" s="0" t="n">
        <v>83</v>
      </c>
      <c r="B68" s="2" t="n">
        <v>0.092117</v>
      </c>
      <c r="C68" s="2" t="n">
        <v>0.051398</v>
      </c>
    </row>
    <row r="69" customFormat="false" ht="14.65" hidden="false" customHeight="false" outlineLevel="0" collapsed="false">
      <c r="A69" s="0" t="n">
        <v>84</v>
      </c>
      <c r="B69" s="2" t="n">
        <v>0.101007</v>
      </c>
      <c r="C69" s="2" t="n">
        <v>0.056786</v>
      </c>
    </row>
    <row r="70" customFormat="false" ht="14.65" hidden="false" customHeight="false" outlineLevel="0" collapsed="false">
      <c r="A70" s="0" t="n">
        <v>85</v>
      </c>
      <c r="B70" s="2" t="n">
        <v>0.1106</v>
      </c>
      <c r="C70" s="2" t="n">
        <v>0.062721</v>
      </c>
    </row>
    <row r="71" customFormat="false" ht="14.65" hidden="false" customHeight="false" outlineLevel="0" collapsed="false">
      <c r="A71" s="0" t="n">
        <v>86</v>
      </c>
      <c r="B71" s="2" t="n">
        <v>0.120929</v>
      </c>
      <c r="C71" s="2" t="n">
        <v>0.069254</v>
      </c>
    </row>
    <row r="72" customFormat="false" ht="14.65" hidden="false" customHeight="false" outlineLevel="0" collapsed="false">
      <c r="A72" s="0" t="n">
        <v>87</v>
      </c>
      <c r="B72" s="2" t="n">
        <v>0.132028</v>
      </c>
      <c r="C72" s="2" t="n">
        <v>0.076441</v>
      </c>
    </row>
    <row r="73" customFormat="false" ht="14.65" hidden="false" customHeight="false" outlineLevel="0" collapsed="false">
      <c r="A73" s="0" t="n">
        <v>88</v>
      </c>
      <c r="B73" s="2" t="n">
        <v>0.143929</v>
      </c>
      <c r="C73" s="2" t="n">
        <v>0.08434</v>
      </c>
    </row>
    <row r="74" customFormat="false" ht="14.65" hidden="false" customHeight="false" outlineLevel="0" collapsed="false">
      <c r="A74" s="0" t="n">
        <v>89</v>
      </c>
      <c r="B74" s="2" t="n">
        <v>0.15666</v>
      </c>
      <c r="C74" s="2" t="n">
        <v>0.093016</v>
      </c>
    </row>
    <row r="75" customFormat="false" ht="14.65" hidden="false" customHeight="false" outlineLevel="0" collapsed="false">
      <c r="A75" s="0" t="n">
        <v>90</v>
      </c>
      <c r="B75" s="2" t="n">
        <v>0.170247</v>
      </c>
      <c r="C75" s="2" t="n">
        <v>0.102533</v>
      </c>
    </row>
    <row r="76" customFormat="false" ht="14.65" hidden="false" customHeight="false" outlineLevel="0" collapsed="false">
      <c r="A76" s="0" t="n">
        <v>91</v>
      </c>
      <c r="B76" s="2" t="n">
        <v>0.184714</v>
      </c>
      <c r="C76" s="2" t="n">
        <v>0.112964</v>
      </c>
    </row>
    <row r="77" customFormat="false" ht="14.65" hidden="false" customHeight="false" outlineLevel="0" collapsed="false">
      <c r="A77" s="0" t="n">
        <v>92</v>
      </c>
      <c r="B77" s="2" t="n">
        <v>0.200079</v>
      </c>
      <c r="C77" s="2" t="n">
        <v>0.124381</v>
      </c>
    </row>
    <row r="78" customFormat="false" ht="14.65" hidden="false" customHeight="false" outlineLevel="0" collapsed="false">
      <c r="A78" s="0" t="n">
        <v>93</v>
      </c>
      <c r="B78" s="2" t="n">
        <v>0.216354</v>
      </c>
      <c r="C78" s="2" t="n">
        <v>0.136862</v>
      </c>
    </row>
    <row r="79" customFormat="false" ht="14.65" hidden="false" customHeight="false" outlineLevel="0" collapsed="false">
      <c r="A79" s="0" t="n">
        <v>94</v>
      </c>
      <c r="B79" s="2" t="n">
        <v>0.233548</v>
      </c>
      <c r="C79" s="2" t="n">
        <v>0.150486</v>
      </c>
    </row>
    <row r="80" customFormat="false" ht="14.65" hidden="false" customHeight="false" outlineLevel="0" collapsed="false">
      <c r="A80" s="0" t="n">
        <v>95</v>
      </c>
      <c r="B80" s="2" t="n">
        <v>0.251662</v>
      </c>
      <c r="C80" s="2" t="n">
        <v>0.165332</v>
      </c>
    </row>
    <row r="81" customFormat="false" ht="14.65" hidden="false" customHeight="false" outlineLevel="0" collapsed="false">
      <c r="A81" s="0" t="n">
        <v>96</v>
      </c>
      <c r="B81" s="2" t="n">
        <v>0.270688</v>
      </c>
      <c r="C81" s="2" t="n">
        <v>0.181481</v>
      </c>
    </row>
    <row r="82" customFormat="false" ht="14.65" hidden="false" customHeight="false" outlineLevel="0" collapsed="false">
      <c r="A82" s="0" t="n">
        <v>97</v>
      </c>
      <c r="B82" s="2" t="n">
        <v>0.290613</v>
      </c>
      <c r="C82" s="2" t="n">
        <v>0.199012</v>
      </c>
    </row>
    <row r="83" customFormat="false" ht="14.65" hidden="false" customHeight="false" outlineLevel="0" collapsed="false">
      <c r="A83" s="0" t="n">
        <v>98</v>
      </c>
      <c r="B83" s="2" t="n">
        <v>0.311414</v>
      </c>
      <c r="C83" s="2" t="n">
        <v>0.218002</v>
      </c>
    </row>
    <row r="84" customFormat="false" ht="14.65" hidden="false" customHeight="false" outlineLevel="0" collapsed="false">
      <c r="A84" s="0" t="n">
        <v>99</v>
      </c>
      <c r="B84" s="2" t="n">
        <v>0.333058</v>
      </c>
      <c r="C84" s="2" t="n">
        <v>0.23852</v>
      </c>
    </row>
    <row r="85" customFormat="false" ht="14.65" hidden="false" customHeight="false" outlineLevel="0" collapsed="false">
      <c r="A85" s="0" t="n">
        <v>100</v>
      </c>
      <c r="B85" s="2" t="n">
        <v>0.355505</v>
      </c>
      <c r="C85" s="2" t="n">
        <v>0.26063</v>
      </c>
    </row>
    <row r="86" customFormat="false" ht="14.65" hidden="false" customHeight="false" outlineLevel="0" collapsed="false">
      <c r="A86" s="0" t="n">
        <v>101</v>
      </c>
      <c r="B86" s="2" t="n">
        <v>0.378702</v>
      </c>
      <c r="C86" s="2" t="n">
        <v>0.284383</v>
      </c>
    </row>
    <row r="87" customFormat="false" ht="14.65" hidden="false" customHeight="false" outlineLevel="0" collapsed="false">
      <c r="A87" s="0" t="n">
        <v>102</v>
      </c>
      <c r="B87" s="2" t="n">
        <v>0.402588</v>
      </c>
      <c r="C87" s="2" t="n">
        <v>0.309814</v>
      </c>
    </row>
    <row r="88" customFormat="false" ht="14.65" hidden="false" customHeight="false" outlineLevel="0" collapsed="false">
      <c r="A88" s="0" t="n">
        <v>103</v>
      </c>
      <c r="B88" s="2" t="n">
        <v>0.42709</v>
      </c>
      <c r="C88" s="2" t="n">
        <v>0.336943</v>
      </c>
    </row>
    <row r="89" customFormat="false" ht="14.65" hidden="false" customHeight="false" outlineLevel="0" collapsed="false">
      <c r="A89" s="0" t="n">
        <v>104</v>
      </c>
      <c r="B89" s="2" t="n">
        <v>0.452127</v>
      </c>
      <c r="C89" s="2" t="n">
        <v>0.365762</v>
      </c>
    </row>
    <row r="90" customFormat="false" ht="14.65" hidden="false" customHeight="false" outlineLevel="0" collapsed="false">
      <c r="A90" s="0" t="n">
        <v>105</v>
      </c>
      <c r="B90" s="2" t="n">
        <v>0.477608</v>
      </c>
      <c r="C90" s="2" t="n">
        <v>0.396238</v>
      </c>
    </row>
    <row r="91" customFormat="false" ht="14.65" hidden="false" customHeight="false" outlineLevel="0" collapsed="false">
      <c r="A91" s="0" t="n">
        <v>106</v>
      </c>
      <c r="B91" s="2" t="n">
        <v>0.503432</v>
      </c>
      <c r="C91" s="2" t="n">
        <v>0.428303</v>
      </c>
    </row>
    <row r="92" customFormat="false" ht="14.65" hidden="false" customHeight="false" outlineLevel="0" collapsed="false">
      <c r="A92" s="0" t="n">
        <v>107</v>
      </c>
      <c r="B92" s="2" t="n">
        <v>0.529493</v>
      </c>
      <c r="C92" s="2" t="n">
        <v>0.461851</v>
      </c>
    </row>
    <row r="93" customFormat="false" ht="14.65" hidden="false" customHeight="false" outlineLevel="0" collapsed="false">
      <c r="A93" s="0" t="n">
        <v>108</v>
      </c>
      <c r="B93" s="2" t="n">
        <v>0.555674</v>
      </c>
      <c r="C93" s="2" t="n">
        <v>0.496734</v>
      </c>
    </row>
    <row r="94" customFormat="false" ht="14.65" hidden="false" customHeight="false" outlineLevel="0" collapsed="false">
      <c r="A94" s="0" t="n">
        <v>109</v>
      </c>
      <c r="B94" s="2" t="n">
        <v>0.581857</v>
      </c>
      <c r="C94" s="2" t="n">
        <v>0.532756</v>
      </c>
    </row>
    <row r="95" customFormat="false" ht="14.65" hidden="false" customHeight="false" outlineLevel="0" collapsed="false">
      <c r="A95" s="0" t="n">
        <v>110</v>
      </c>
      <c r="B95" s="2" t="n">
        <v>0.607918</v>
      </c>
      <c r="C95" s="2" t="n">
        <v>0.56967</v>
      </c>
    </row>
    <row r="96" customFormat="false" ht="14.65" hidden="false" customHeight="false" outlineLevel="0" collapsed="false">
      <c r="A96" s="0" t="n">
        <v>111</v>
      </c>
      <c r="B96" s="2" t="n">
        <v>0.633731</v>
      </c>
      <c r="C96" s="2" t="n">
        <v>0.607181</v>
      </c>
    </row>
    <row r="97" customFormat="false" ht="14.65" hidden="false" customHeight="false" outlineLevel="0" collapsed="false">
      <c r="A97" s="0" t="n">
        <v>112</v>
      </c>
      <c r="B97" s="2" t="n">
        <v>0.659171</v>
      </c>
      <c r="C97" s="2" t="n">
        <v>0.644942</v>
      </c>
    </row>
    <row r="98" customFormat="false" ht="14.65" hidden="false" customHeight="false" outlineLevel="0" collapsed="false">
      <c r="A98" s="0" t="n">
        <v>113</v>
      </c>
      <c r="B98" s="2" t="n">
        <v>0.684114</v>
      </c>
      <c r="C98" s="2" t="n">
        <v>0.682563</v>
      </c>
    </row>
    <row r="99" customFormat="false" ht="14.65" hidden="false" customHeight="false" outlineLevel="0" collapsed="false">
      <c r="A99" s="0" t="n">
        <v>114</v>
      </c>
      <c r="B99" s="2" t="n">
        <v>0.708442</v>
      </c>
      <c r="C99" s="2" t="n">
        <v>0.719616</v>
      </c>
    </row>
    <row r="100" customFormat="false" ht="14.65" hidden="false" customHeight="false" outlineLevel="0" collapsed="false">
      <c r="A100" s="0" t="n">
        <v>115</v>
      </c>
      <c r="B100" s="2" t="n">
        <v>0.732042</v>
      </c>
      <c r="C100" s="2" t="n">
        <v>0.755647</v>
      </c>
    </row>
    <row r="101" customFormat="false" ht="14.65" hidden="false" customHeight="false" outlineLevel="0" collapsed="false">
      <c r="A101" s="0" t="n">
        <v>116</v>
      </c>
      <c r="B101" s="2" t="n">
        <v>0.754809</v>
      </c>
      <c r="C101" s="2" t="n">
        <v>0.790192</v>
      </c>
    </row>
    <row r="102" customFormat="false" ht="14.65" hidden="false" customHeight="false" outlineLevel="0" collapsed="false">
      <c r="A102" s="0" t="n">
        <v>117</v>
      </c>
      <c r="B102" s="2" t="n">
        <v>0.776648</v>
      </c>
      <c r="C102" s="2" t="n">
        <v>0.8228</v>
      </c>
    </row>
    <row r="103" customFormat="false" ht="14.65" hidden="false" customHeight="false" outlineLevel="0" collapsed="false">
      <c r="A103" s="0" t="n">
        <v>118</v>
      </c>
      <c r="B103" s="2" t="n">
        <v>0.797477</v>
      </c>
      <c r="C103" s="2" t="n">
        <v>0.85305</v>
      </c>
    </row>
    <row r="104" customFormat="false" ht="14.65" hidden="false" customHeight="false" outlineLevel="0" collapsed="false">
      <c r="A104" s="0" t="n">
        <v>119</v>
      </c>
      <c r="B104" s="2" t="n">
        <v>0.817225</v>
      </c>
      <c r="C104" s="2" t="n">
        <v>0.880579</v>
      </c>
    </row>
    <row r="105" customFormat="false" ht="14.65" hidden="false" customHeight="false" outlineLevel="0" collapsed="false">
      <c r="A105" s="0" t="n">
        <v>120</v>
      </c>
      <c r="B105" s="2" t="n">
        <v>1</v>
      </c>
      <c r="C105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8.68"/>
  </cols>
  <sheetData>
    <row r="1" customFormat="false" ht="12.8" hidden="false" customHeight="false" outlineLevel="0" collapsed="false">
      <c r="A1" s="0" t="s">
        <v>16</v>
      </c>
      <c r="B1" s="0" t="s">
        <v>17</v>
      </c>
    </row>
    <row r="2" customFormat="false" ht="12.8" hidden="false" customHeight="false" outlineLevel="0" collapsed="false">
      <c r="A2" s="0" t="n">
        <v>0</v>
      </c>
      <c r="B2" s="0" t="n">
        <v>0.056512451365165</v>
      </c>
    </row>
    <row r="3" customFormat="false" ht="12.8" hidden="false" customHeight="false" outlineLevel="0" collapsed="false">
      <c r="A3" s="0" t="n">
        <v>1</v>
      </c>
      <c r="B3" s="0" t="n">
        <v>0.0510915484575381</v>
      </c>
    </row>
    <row r="4" customFormat="false" ht="12.8" hidden="false" customHeight="false" outlineLevel="0" collapsed="false">
      <c r="A4" s="0" t="n">
        <v>2</v>
      </c>
      <c r="B4" s="0" t="n">
        <v>0.0554781624150343</v>
      </c>
    </row>
    <row r="5" customFormat="false" ht="12.8" hidden="false" customHeight="false" outlineLevel="0" collapsed="false">
      <c r="A5" s="0" t="n">
        <v>3</v>
      </c>
      <c r="B5" s="0" t="n">
        <v>0.0597059445864686</v>
      </c>
    </row>
    <row r="6" customFormat="false" ht="12.8" hidden="false" customHeight="false" outlineLevel="0" collapsed="false">
      <c r="A6" s="0" t="n">
        <v>4</v>
      </c>
      <c r="B6" s="0" t="n">
        <v>0.0524941860782259</v>
      </c>
    </row>
    <row r="7" customFormat="false" ht="12.8" hidden="false" customHeight="false" outlineLevel="0" collapsed="false">
      <c r="A7" s="0" t="n">
        <v>5</v>
      </c>
      <c r="B7" s="0" t="n">
        <v>0.0571502638399833</v>
      </c>
    </row>
    <row r="8" customFormat="false" ht="12.8" hidden="false" customHeight="false" outlineLevel="0" collapsed="false">
      <c r="A8" s="0" t="n">
        <v>6</v>
      </c>
      <c r="B8" s="0" t="n">
        <v>0.0518819097548015</v>
      </c>
    </row>
    <row r="9" customFormat="false" ht="12.8" hidden="false" customHeight="false" outlineLevel="0" collapsed="false">
      <c r="A9" s="0" t="n">
        <v>7</v>
      </c>
      <c r="B9" s="0" t="n">
        <v>0.0569870364284647</v>
      </c>
    </row>
    <row r="10" customFormat="false" ht="12.8" hidden="false" customHeight="false" outlineLevel="0" collapsed="false">
      <c r="A10" s="0" t="n">
        <v>8</v>
      </c>
      <c r="B10" s="0" t="n">
        <v>0.0514368481881529</v>
      </c>
    </row>
    <row r="11" customFormat="false" ht="12.8" hidden="false" customHeight="false" outlineLevel="0" collapsed="false">
      <c r="A11" s="0" t="n">
        <v>9</v>
      </c>
      <c r="B11" s="0" t="n">
        <v>0.0552254406403601</v>
      </c>
    </row>
    <row r="12" customFormat="false" ht="12.8" hidden="false" customHeight="false" outlineLevel="0" collapsed="false">
      <c r="A12" s="0" t="n">
        <v>10</v>
      </c>
      <c r="B12" s="0" t="n">
        <v>0.0571086078385225</v>
      </c>
    </row>
    <row r="13" customFormat="false" ht="12.8" hidden="false" customHeight="false" outlineLevel="0" collapsed="false">
      <c r="A13" s="0" t="n">
        <v>11</v>
      </c>
      <c r="B13" s="0" t="n">
        <v>0.0559521161466859</v>
      </c>
    </row>
    <row r="14" customFormat="false" ht="12.8" hidden="false" customHeight="false" outlineLevel="0" collapsed="false">
      <c r="A14" s="0" t="n">
        <v>12</v>
      </c>
      <c r="B14" s="0" t="n">
        <v>0.0537792469414071</v>
      </c>
    </row>
    <row r="15" customFormat="false" ht="12.8" hidden="false" customHeight="false" outlineLevel="0" collapsed="false">
      <c r="A15" s="0" t="n">
        <v>13</v>
      </c>
      <c r="B15" s="0" t="n">
        <v>0.0576509729522692</v>
      </c>
    </row>
    <row r="16" customFormat="false" ht="12.8" hidden="false" customHeight="false" outlineLevel="0" collapsed="false">
      <c r="A16" s="0" t="n">
        <v>14</v>
      </c>
      <c r="B16" s="0" t="n">
        <v>0.0503241503064561</v>
      </c>
    </row>
    <row r="17" customFormat="false" ht="12.8" hidden="false" customHeight="false" outlineLevel="0" collapsed="false">
      <c r="A17" s="0" t="n">
        <v>15</v>
      </c>
      <c r="B17" s="0" t="n">
        <v>0.0523136916627241</v>
      </c>
    </row>
    <row r="18" customFormat="false" ht="12.8" hidden="false" customHeight="false" outlineLevel="0" collapsed="false">
      <c r="A18" s="0" t="n">
        <v>16</v>
      </c>
      <c r="B18" s="0" t="n">
        <v>0.0503420335784768</v>
      </c>
    </row>
    <row r="19" customFormat="false" ht="12.8" hidden="false" customHeight="false" outlineLevel="0" collapsed="false">
      <c r="A19" s="0" t="n">
        <v>17</v>
      </c>
      <c r="B19" s="0" t="n">
        <v>0.0578151680084089</v>
      </c>
    </row>
    <row r="20" customFormat="false" ht="12.8" hidden="false" customHeight="false" outlineLevel="0" collapsed="false">
      <c r="A20" s="0" t="n">
        <v>18</v>
      </c>
      <c r="B20" s="0" t="n">
        <v>0.0573225715722227</v>
      </c>
    </row>
    <row r="21" customFormat="false" ht="12.8" hidden="false" customHeight="false" outlineLevel="0" collapsed="false">
      <c r="A21" s="0" t="n">
        <v>19</v>
      </c>
      <c r="B21" s="0" t="n">
        <v>0.0574259322396863</v>
      </c>
    </row>
    <row r="22" customFormat="false" ht="12.8" hidden="false" customHeight="false" outlineLevel="0" collapsed="false">
      <c r="A22" s="0" t="n">
        <v>20</v>
      </c>
      <c r="B22" s="0" t="n">
        <v>0.051442399772248</v>
      </c>
    </row>
    <row r="23" customFormat="false" ht="12.8" hidden="false" customHeight="false" outlineLevel="0" collapsed="false">
      <c r="A23" s="0" t="n">
        <v>21</v>
      </c>
      <c r="B23" s="0" t="n">
        <v>0.0502124053996257</v>
      </c>
    </row>
    <row r="24" customFormat="false" ht="12.8" hidden="false" customHeight="false" outlineLevel="0" collapsed="false">
      <c r="A24" s="0" t="n">
        <v>22</v>
      </c>
      <c r="B24" s="0" t="n">
        <v>0.059668402270291</v>
      </c>
    </row>
    <row r="25" customFormat="false" ht="12.8" hidden="false" customHeight="false" outlineLevel="0" collapsed="false">
      <c r="A25" s="0" t="n">
        <v>23</v>
      </c>
      <c r="B25" s="0" t="n">
        <v>0.054434126041358</v>
      </c>
    </row>
    <row r="26" customFormat="false" ht="12.8" hidden="false" customHeight="false" outlineLevel="0" collapsed="false">
      <c r="A26" s="0" t="n">
        <v>24</v>
      </c>
      <c r="B26" s="0" t="n">
        <v>0.0561467037390131</v>
      </c>
    </row>
    <row r="27" customFormat="false" ht="12.8" hidden="false" customHeight="false" outlineLevel="0" collapsed="false">
      <c r="A27" s="0" t="n">
        <v>25</v>
      </c>
      <c r="B27" s="0" t="n">
        <v>0.0521563608905544</v>
      </c>
    </row>
    <row r="28" customFormat="false" ht="12.8" hidden="false" customHeight="false" outlineLevel="0" collapsed="false">
      <c r="A28" s="0" t="n">
        <v>26</v>
      </c>
      <c r="B28" s="0" t="n">
        <v>0.0524740916291022</v>
      </c>
    </row>
    <row r="29" customFormat="false" ht="12.8" hidden="false" customHeight="false" outlineLevel="0" collapsed="false">
      <c r="A29" s="0" t="n">
        <v>27</v>
      </c>
      <c r="B29" s="0" t="n">
        <v>0.0521630855843811</v>
      </c>
    </row>
    <row r="30" customFormat="false" ht="12.8" hidden="false" customHeight="false" outlineLevel="0" collapsed="false">
      <c r="A30" s="0" t="n">
        <v>28</v>
      </c>
      <c r="B30" s="0" t="n">
        <v>0.0501367352603639</v>
      </c>
    </row>
    <row r="31" customFormat="false" ht="12.8" hidden="false" customHeight="false" outlineLevel="0" collapsed="false">
      <c r="A31" s="0" t="n">
        <v>29</v>
      </c>
      <c r="B31" s="0" t="n">
        <v>0.057109485837176</v>
      </c>
    </row>
    <row r="32" customFormat="false" ht="12.8" hidden="false" customHeight="false" outlineLevel="0" collapsed="false">
      <c r="A32" s="0" t="n">
        <v>30</v>
      </c>
      <c r="B32" s="0" t="n">
        <v>0.0579791418474952</v>
      </c>
    </row>
    <row r="33" customFormat="false" ht="12.8" hidden="false" customHeight="false" outlineLevel="0" collapsed="false">
      <c r="A33" s="0" t="n">
        <v>31</v>
      </c>
      <c r="B33" s="0" t="n">
        <v>0.052907933013956</v>
      </c>
    </row>
    <row r="34" customFormat="false" ht="12.8" hidden="false" customHeight="false" outlineLevel="0" collapsed="false">
      <c r="A34" s="0" t="n">
        <v>32</v>
      </c>
      <c r="B34" s="0" t="n">
        <v>0.0504214242625149</v>
      </c>
    </row>
    <row r="35" customFormat="false" ht="12.8" hidden="false" customHeight="false" outlineLevel="0" collapsed="false">
      <c r="A35" s="0" t="n">
        <v>33</v>
      </c>
      <c r="B35" s="0" t="n">
        <v>0.0529691234913097</v>
      </c>
    </row>
    <row r="36" customFormat="false" ht="12.8" hidden="false" customHeight="false" outlineLevel="0" collapsed="false">
      <c r="A36" s="0" t="n">
        <v>34</v>
      </c>
      <c r="B36" s="0" t="n">
        <v>0.0513899981078689</v>
      </c>
    </row>
    <row r="37" customFormat="false" ht="12.8" hidden="false" customHeight="false" outlineLevel="0" collapsed="false">
      <c r="A37" s="0" t="n">
        <v>35</v>
      </c>
      <c r="B37" s="0" t="n">
        <v>0.0522353564847554</v>
      </c>
    </row>
    <row r="38" customFormat="false" ht="12.8" hidden="false" customHeight="false" outlineLevel="0" collapsed="false">
      <c r="A38" s="0" t="n">
        <v>36</v>
      </c>
      <c r="B38" s="0" t="n">
        <v>0.05664226415059</v>
      </c>
    </row>
    <row r="39" customFormat="false" ht="12.8" hidden="false" customHeight="false" outlineLevel="0" collapsed="false">
      <c r="A39" s="0" t="n">
        <v>37</v>
      </c>
      <c r="B39" s="0" t="n">
        <v>0.0564939736598397</v>
      </c>
    </row>
    <row r="40" customFormat="false" ht="12.8" hidden="false" customHeight="false" outlineLevel="0" collapsed="false">
      <c r="A40" s="0" t="n">
        <v>38</v>
      </c>
      <c r="B40" s="0" t="n">
        <v>0.0592160019966261</v>
      </c>
    </row>
    <row r="41" customFormat="false" ht="12.8" hidden="false" customHeight="false" outlineLevel="0" collapsed="false">
      <c r="A41" s="0" t="n">
        <v>39</v>
      </c>
      <c r="B41" s="0" t="n">
        <v>0.0587643060153657</v>
      </c>
    </row>
    <row r="42" customFormat="false" ht="12.8" hidden="false" customHeight="false" outlineLevel="0" collapsed="false">
      <c r="A42" s="0" t="n">
        <v>40</v>
      </c>
      <c r="B42" s="0" t="n">
        <v>0.0582275560237142</v>
      </c>
    </row>
    <row r="43" customFormat="false" ht="12.8" hidden="false" customHeight="false" outlineLevel="0" collapsed="false">
      <c r="A43" s="0" t="n">
        <v>41</v>
      </c>
      <c r="B43" s="0" t="n">
        <v>0.0538057602753576</v>
      </c>
    </row>
    <row r="44" customFormat="false" ht="12.8" hidden="false" customHeight="false" outlineLevel="0" collapsed="false">
      <c r="A44" s="0" t="n">
        <v>42</v>
      </c>
      <c r="B44" s="0" t="n">
        <v>0.0590672973945049</v>
      </c>
    </row>
    <row r="45" customFormat="false" ht="12.8" hidden="false" customHeight="false" outlineLevel="0" collapsed="false">
      <c r="A45" s="0" t="n">
        <v>43</v>
      </c>
      <c r="B45" s="0" t="n">
        <v>0.050431110143225</v>
      </c>
    </row>
    <row r="46" customFormat="false" ht="12.8" hidden="false" customHeight="false" outlineLevel="0" collapsed="false">
      <c r="A46" s="0" t="n">
        <v>44</v>
      </c>
      <c r="B46" s="0" t="n">
        <v>0.0597039151261724</v>
      </c>
    </row>
    <row r="47" customFormat="false" ht="12.8" hidden="false" customHeight="false" outlineLevel="0" collapsed="false">
      <c r="A47" s="0" t="n">
        <v>45</v>
      </c>
      <c r="B47" s="0" t="n">
        <v>0.0597297272394963</v>
      </c>
    </row>
    <row r="48" customFormat="false" ht="12.8" hidden="false" customHeight="false" outlineLevel="0" collapsed="false">
      <c r="A48" s="0" t="n">
        <v>46</v>
      </c>
      <c r="B48" s="0" t="n">
        <v>0.0559176619356752</v>
      </c>
    </row>
    <row r="49" customFormat="false" ht="12.8" hidden="false" customHeight="false" outlineLevel="0" collapsed="false">
      <c r="A49" s="0" t="n">
        <v>47</v>
      </c>
      <c r="B49" s="0" t="n">
        <v>0.0540649212704665</v>
      </c>
    </row>
    <row r="50" customFormat="false" ht="12.8" hidden="false" customHeight="false" outlineLevel="0" collapsed="false">
      <c r="A50" s="0" t="n">
        <v>48</v>
      </c>
      <c r="B50" s="0" t="n">
        <v>0.0534004041512094</v>
      </c>
    </row>
    <row r="51" customFormat="false" ht="12.8" hidden="false" customHeight="false" outlineLevel="0" collapsed="false">
      <c r="A51" s="0" t="n">
        <v>49</v>
      </c>
      <c r="B51" s="0" t="n">
        <v>0.0543966396617147</v>
      </c>
    </row>
    <row r="52" customFormat="false" ht="12.8" hidden="false" customHeight="false" outlineLevel="0" collapsed="false">
      <c r="A52" s="0" t="n">
        <v>50</v>
      </c>
      <c r="B52" s="0" t="n">
        <v>0.0567355243543107</v>
      </c>
    </row>
    <row r="53" customFormat="false" ht="12.8" hidden="false" customHeight="false" outlineLevel="0" collapsed="false">
      <c r="A53" s="0" t="n">
        <v>51</v>
      </c>
      <c r="B53" s="0" t="n">
        <v>0.0539073679699141</v>
      </c>
    </row>
    <row r="54" customFormat="false" ht="12.8" hidden="false" customHeight="false" outlineLevel="0" collapsed="false">
      <c r="A54" s="0" t="n">
        <v>52</v>
      </c>
      <c r="B54" s="0" t="n">
        <v>0.0575930137558352</v>
      </c>
    </row>
    <row r="55" customFormat="false" ht="12.8" hidden="false" customHeight="false" outlineLevel="0" collapsed="false">
      <c r="A55" s="0" t="n">
        <v>53</v>
      </c>
      <c r="B55" s="0" t="n">
        <v>0.0536263192832265</v>
      </c>
    </row>
    <row r="56" customFormat="false" ht="12.8" hidden="false" customHeight="false" outlineLevel="0" collapsed="false">
      <c r="A56" s="0" t="n">
        <v>54</v>
      </c>
      <c r="B56" s="0" t="n">
        <v>0.0543375017506779</v>
      </c>
    </row>
    <row r="57" customFormat="false" ht="12.8" hidden="false" customHeight="false" outlineLevel="0" collapsed="false">
      <c r="A57" s="0" t="n">
        <v>55</v>
      </c>
      <c r="B57" s="0" t="n">
        <v>0.0563694086068337</v>
      </c>
    </row>
    <row r="58" customFormat="false" ht="12.8" hidden="false" customHeight="false" outlineLevel="0" collapsed="false">
      <c r="A58" s="0" t="n">
        <v>56</v>
      </c>
      <c r="B58" s="0" t="n">
        <v>0.0504441322692602</v>
      </c>
    </row>
    <row r="59" customFormat="false" ht="12.8" hidden="false" customHeight="false" outlineLevel="0" collapsed="false">
      <c r="A59" s="0" t="n">
        <v>57</v>
      </c>
      <c r="B59" s="0" t="n">
        <v>0.058432758135846</v>
      </c>
    </row>
    <row r="60" customFormat="false" ht="12.8" hidden="false" customHeight="false" outlineLevel="0" collapsed="false">
      <c r="A60" s="0" t="n">
        <v>58</v>
      </c>
      <c r="B60" s="0" t="n">
        <v>0.0547192566618106</v>
      </c>
    </row>
    <row r="61" customFormat="false" ht="12.8" hidden="false" customHeight="false" outlineLevel="0" collapsed="false">
      <c r="A61" s="0" t="n">
        <v>59</v>
      </c>
      <c r="B61" s="0" t="n">
        <v>0.0508945783985556</v>
      </c>
    </row>
    <row r="62" customFormat="false" ht="12.8" hidden="false" customHeight="false" outlineLevel="0" collapsed="false">
      <c r="A62" s="0" t="n">
        <v>60</v>
      </c>
      <c r="B62" s="0" t="n">
        <v>0.0593608342654209</v>
      </c>
    </row>
    <row r="63" customFormat="false" ht="12.8" hidden="false" customHeight="false" outlineLevel="0" collapsed="false">
      <c r="A63" s="0" t="n">
        <v>61</v>
      </c>
      <c r="B63" s="0" t="n">
        <v>0.0547992313348354</v>
      </c>
    </row>
    <row r="64" customFormat="false" ht="12.8" hidden="false" customHeight="false" outlineLevel="0" collapsed="false">
      <c r="A64" s="0" t="n">
        <v>62</v>
      </c>
      <c r="B64" s="0" t="n">
        <v>0.0541634689667358</v>
      </c>
    </row>
    <row r="65" customFormat="false" ht="12.8" hidden="false" customHeight="false" outlineLevel="0" collapsed="false">
      <c r="A65" s="0" t="n">
        <v>63</v>
      </c>
      <c r="B65" s="0" t="n">
        <v>0.0577274266963911</v>
      </c>
    </row>
    <row r="66" customFormat="false" ht="12.8" hidden="false" customHeight="false" outlineLevel="0" collapsed="false">
      <c r="A66" s="0" t="n">
        <v>64</v>
      </c>
      <c r="B66" s="0" t="n">
        <v>0.0597922462599557</v>
      </c>
    </row>
    <row r="67" customFormat="false" ht="12.8" hidden="false" customHeight="false" outlineLevel="0" collapsed="false">
      <c r="A67" s="0" t="n">
        <v>65</v>
      </c>
      <c r="B67" s="0" t="n">
        <v>0.0577842511874743</v>
      </c>
    </row>
    <row r="68" customFormat="false" ht="12.8" hidden="false" customHeight="false" outlineLevel="0" collapsed="false">
      <c r="A68" s="0" t="n">
        <v>66</v>
      </c>
      <c r="B68" s="0" t="n">
        <v>0.0550869919626207</v>
      </c>
    </row>
    <row r="69" customFormat="false" ht="12.8" hidden="false" customHeight="false" outlineLevel="0" collapsed="false">
      <c r="A69" s="0" t="n">
        <v>67</v>
      </c>
      <c r="B69" s="0" t="n">
        <v>0.0559350132377264</v>
      </c>
    </row>
    <row r="70" customFormat="false" ht="12.8" hidden="false" customHeight="false" outlineLevel="0" collapsed="false">
      <c r="A70" s="0" t="n">
        <v>68</v>
      </c>
      <c r="B70" s="0" t="n">
        <v>0.0521935204314641</v>
      </c>
    </row>
    <row r="71" customFormat="false" ht="12.8" hidden="false" customHeight="false" outlineLevel="0" collapsed="false">
      <c r="A71" s="0" t="n">
        <v>69</v>
      </c>
      <c r="B71" s="0" t="n">
        <v>0.0548475471319578</v>
      </c>
    </row>
    <row r="72" customFormat="false" ht="12.8" hidden="false" customHeight="false" outlineLevel="0" collapsed="false">
      <c r="A72" s="0" t="n">
        <v>70</v>
      </c>
      <c r="B72" s="0" t="n">
        <v>0.0559725508405641</v>
      </c>
    </row>
    <row r="73" customFormat="false" ht="12.8" hidden="false" customHeight="false" outlineLevel="0" collapsed="false">
      <c r="A73" s="0" t="n">
        <v>71</v>
      </c>
      <c r="B73" s="0" t="n">
        <v>0.0559990729919744</v>
      </c>
    </row>
    <row r="74" customFormat="false" ht="12.8" hidden="false" customHeight="false" outlineLevel="0" collapsed="false">
      <c r="A74" s="0" t="n">
        <v>72</v>
      </c>
      <c r="B74" s="0" t="n">
        <v>0.0534310330196407</v>
      </c>
    </row>
    <row r="75" customFormat="false" ht="12.8" hidden="false" customHeight="false" outlineLevel="0" collapsed="false">
      <c r="A75" s="0" t="n">
        <v>73</v>
      </c>
      <c r="B75" s="0" t="n">
        <v>0.0508622464799566</v>
      </c>
    </row>
    <row r="76" customFormat="false" ht="12.8" hidden="false" customHeight="false" outlineLevel="0" collapsed="false">
      <c r="A76" s="0" t="n">
        <v>74</v>
      </c>
      <c r="B76" s="0" t="n">
        <v>0.0568647963971738</v>
      </c>
    </row>
    <row r="77" customFormat="false" ht="12.8" hidden="false" customHeight="false" outlineLevel="0" collapsed="false">
      <c r="A77" s="0" t="n">
        <v>75</v>
      </c>
      <c r="B77" s="0" t="n">
        <v>0.0552148372535029</v>
      </c>
    </row>
    <row r="78" customFormat="false" ht="12.8" hidden="false" customHeight="false" outlineLevel="0" collapsed="false">
      <c r="A78" s="0" t="n">
        <v>76</v>
      </c>
      <c r="B78" s="0" t="n">
        <v>0.0554733932516602</v>
      </c>
    </row>
    <row r="79" customFormat="false" ht="12.8" hidden="false" customHeight="false" outlineLevel="0" collapsed="false">
      <c r="A79" s="0" t="n">
        <v>77</v>
      </c>
      <c r="B79" s="0" t="n">
        <v>0.0592113286240303</v>
      </c>
    </row>
    <row r="80" customFormat="false" ht="12.8" hidden="false" customHeight="false" outlineLevel="0" collapsed="false">
      <c r="A80" s="0" t="n">
        <v>78</v>
      </c>
      <c r="B80" s="0" t="n">
        <v>0.0553587999508208</v>
      </c>
    </row>
    <row r="81" customFormat="false" ht="12.8" hidden="false" customHeight="false" outlineLevel="0" collapsed="false">
      <c r="A81" s="0" t="n">
        <v>79</v>
      </c>
      <c r="B81" s="0" t="n">
        <v>0.0532176194384626</v>
      </c>
    </row>
    <row r="82" customFormat="false" ht="12.8" hidden="false" customHeight="false" outlineLevel="0" collapsed="false">
      <c r="A82" s="0" t="n">
        <v>80</v>
      </c>
      <c r="B82" s="0" t="n">
        <v>0.051655245764068</v>
      </c>
    </row>
    <row r="83" customFormat="false" ht="12.8" hidden="false" customHeight="false" outlineLevel="0" collapsed="false">
      <c r="A83" s="0" t="n">
        <v>81</v>
      </c>
      <c r="B83" s="0" t="n">
        <v>0.0535965238239817</v>
      </c>
    </row>
    <row r="84" customFormat="false" ht="12.8" hidden="false" customHeight="false" outlineLevel="0" collapsed="false">
      <c r="A84" s="0" t="n">
        <v>82</v>
      </c>
      <c r="B84" s="0" t="n">
        <v>0.0515278727352787</v>
      </c>
    </row>
    <row r="85" customFormat="false" ht="12.8" hidden="false" customHeight="false" outlineLevel="0" collapsed="false">
      <c r="A85" s="0" t="n">
        <v>83</v>
      </c>
      <c r="B85" s="0" t="n">
        <v>0.0589785107539671</v>
      </c>
    </row>
    <row r="86" customFormat="false" ht="12.8" hidden="false" customHeight="false" outlineLevel="0" collapsed="false">
      <c r="A86" s="0" t="n">
        <v>84</v>
      </c>
      <c r="B86" s="0" t="n">
        <v>0.0587062620152601</v>
      </c>
    </row>
    <row r="87" customFormat="false" ht="12.8" hidden="false" customHeight="false" outlineLevel="0" collapsed="false">
      <c r="A87" s="0" t="n">
        <v>85</v>
      </c>
      <c r="B87" s="0" t="n">
        <v>0.0530496244705187</v>
      </c>
    </row>
    <row r="88" customFormat="false" ht="12.8" hidden="false" customHeight="false" outlineLevel="0" collapsed="false">
      <c r="A88" s="0" t="n">
        <v>86</v>
      </c>
      <c r="B88" s="0" t="n">
        <v>0.056056961898913</v>
      </c>
    </row>
    <row r="89" customFormat="false" ht="12.8" hidden="false" customHeight="false" outlineLevel="0" collapsed="false">
      <c r="A89" s="0" t="n">
        <v>87</v>
      </c>
      <c r="B89" s="0" t="n">
        <v>0.0588665301770658</v>
      </c>
    </row>
    <row r="90" customFormat="false" ht="12.8" hidden="false" customHeight="false" outlineLevel="0" collapsed="false">
      <c r="A90" s="0" t="n">
        <v>88</v>
      </c>
      <c r="B90" s="0" t="n">
        <v>0.053608067870554</v>
      </c>
    </row>
    <row r="91" customFormat="false" ht="12.8" hidden="false" customHeight="false" outlineLevel="0" collapsed="false">
      <c r="A91" s="0" t="n">
        <v>89</v>
      </c>
      <c r="B91" s="0" t="n">
        <v>0.0530586150818509</v>
      </c>
    </row>
    <row r="92" customFormat="false" ht="12.8" hidden="false" customHeight="false" outlineLevel="0" collapsed="false">
      <c r="A92" s="0" t="n">
        <v>90</v>
      </c>
      <c r="B92" s="0" t="n">
        <v>0.0511387713067562</v>
      </c>
    </row>
    <row r="93" customFormat="false" ht="12.8" hidden="false" customHeight="false" outlineLevel="0" collapsed="false">
      <c r="A93" s="0" t="n">
        <v>91</v>
      </c>
      <c r="B93" s="0" t="n">
        <v>0.0505422890560372</v>
      </c>
    </row>
    <row r="94" customFormat="false" ht="12.8" hidden="false" customHeight="false" outlineLevel="0" collapsed="false">
      <c r="A94" s="0" t="n">
        <v>92</v>
      </c>
      <c r="B94" s="0" t="n">
        <v>0.0510777403260852</v>
      </c>
    </row>
    <row r="95" customFormat="false" ht="12.8" hidden="false" customHeight="false" outlineLevel="0" collapsed="false">
      <c r="A95" s="0" t="n">
        <v>93</v>
      </c>
      <c r="B95" s="0" t="n">
        <v>0.0518977532494581</v>
      </c>
    </row>
    <row r="96" customFormat="false" ht="12.8" hidden="false" customHeight="false" outlineLevel="0" collapsed="false">
      <c r="A96" s="0" t="n">
        <v>94</v>
      </c>
      <c r="B96" s="0" t="n">
        <v>0.0502307273231617</v>
      </c>
    </row>
    <row r="97" customFormat="false" ht="12.8" hidden="false" customHeight="false" outlineLevel="0" collapsed="false">
      <c r="A97" s="0" t="n">
        <v>95</v>
      </c>
      <c r="B97" s="0" t="n">
        <v>0.05447460706071</v>
      </c>
    </row>
    <row r="98" customFormat="false" ht="12.8" hidden="false" customHeight="false" outlineLevel="0" collapsed="false">
      <c r="A98" s="0" t="n">
        <v>96</v>
      </c>
      <c r="B98" s="0" t="n">
        <v>0.0536548898589256</v>
      </c>
    </row>
    <row r="99" customFormat="false" ht="12.8" hidden="false" customHeight="false" outlineLevel="0" collapsed="false">
      <c r="A99" s="0" t="n">
        <v>97</v>
      </c>
      <c r="B99" s="0" t="n">
        <v>0.0522116513671464</v>
      </c>
    </row>
    <row r="100" customFormat="false" ht="12.8" hidden="false" customHeight="false" outlineLevel="0" collapsed="false">
      <c r="A100" s="0" t="n">
        <v>98</v>
      </c>
      <c r="B100" s="0" t="n">
        <v>0.0551152569949035</v>
      </c>
    </row>
    <row r="101" customFormat="false" ht="12.8" hidden="false" customHeight="false" outlineLevel="0" collapsed="false">
      <c r="A101" s="0" t="n">
        <v>99</v>
      </c>
      <c r="B101" s="0" t="n">
        <v>0.0549680487349779</v>
      </c>
    </row>
    <row r="102" customFormat="false" ht="12.8" hidden="false" customHeight="false" outlineLevel="0" collapsed="false">
      <c r="A102" s="0" t="n">
        <v>100</v>
      </c>
      <c r="B102" s="0" t="n">
        <v>0.0507996491577013</v>
      </c>
    </row>
    <row r="103" customFormat="false" ht="12.8" hidden="false" customHeight="false" outlineLevel="0" collapsed="false">
      <c r="A103" s="0" t="n">
        <v>101</v>
      </c>
      <c r="B103" s="0" t="n">
        <v>0.0584365521660722</v>
      </c>
    </row>
    <row r="104" customFormat="false" ht="12.8" hidden="false" customHeight="false" outlineLevel="0" collapsed="false">
      <c r="A104" s="0" t="n">
        <v>102</v>
      </c>
      <c r="B104" s="0" t="n">
        <v>0.0546315182842329</v>
      </c>
    </row>
    <row r="105" customFormat="false" ht="12.8" hidden="false" customHeight="false" outlineLevel="0" collapsed="false">
      <c r="A105" s="0" t="n">
        <v>103</v>
      </c>
      <c r="B105" s="0" t="n">
        <v>0.0541362294937872</v>
      </c>
    </row>
    <row r="106" customFormat="false" ht="12.8" hidden="false" customHeight="false" outlineLevel="0" collapsed="false">
      <c r="A106" s="0" t="n">
        <v>104</v>
      </c>
      <c r="B106" s="0" t="n">
        <v>0.0515028496070638</v>
      </c>
    </row>
    <row r="107" customFormat="false" ht="12.8" hidden="false" customHeight="false" outlineLevel="0" collapsed="false">
      <c r="A107" s="0" t="n">
        <v>105</v>
      </c>
      <c r="B107" s="0" t="n">
        <v>0.0509126674497954</v>
      </c>
    </row>
    <row r="108" customFormat="false" ht="12.8" hidden="false" customHeight="false" outlineLevel="0" collapsed="false">
      <c r="A108" s="0" t="n">
        <v>106</v>
      </c>
      <c r="B108" s="0" t="n">
        <v>0.0529605709354005</v>
      </c>
    </row>
    <row r="109" customFormat="false" ht="12.8" hidden="false" customHeight="false" outlineLevel="0" collapsed="false">
      <c r="A109" s="0" t="n">
        <v>107</v>
      </c>
      <c r="B109" s="0" t="n">
        <v>0.0502410128260237</v>
      </c>
    </row>
    <row r="110" customFormat="false" ht="12.8" hidden="false" customHeight="false" outlineLevel="0" collapsed="false">
      <c r="A110" s="0" t="n">
        <v>108</v>
      </c>
      <c r="B110" s="0" t="n">
        <v>0.0506652421113481</v>
      </c>
    </row>
    <row r="111" customFormat="false" ht="12.8" hidden="false" customHeight="false" outlineLevel="0" collapsed="false">
      <c r="A111" s="0" t="n">
        <v>109</v>
      </c>
      <c r="B111" s="0" t="n">
        <v>0.0555486911331753</v>
      </c>
    </row>
    <row r="112" customFormat="false" ht="12.8" hidden="false" customHeight="false" outlineLevel="0" collapsed="false">
      <c r="A112" s="0" t="n">
        <v>110</v>
      </c>
      <c r="B112" s="0" t="n">
        <v>0.059535829057111</v>
      </c>
    </row>
    <row r="113" customFormat="false" ht="12.8" hidden="false" customHeight="false" outlineLevel="0" collapsed="false">
      <c r="A113" s="0" t="n">
        <v>111</v>
      </c>
      <c r="B113" s="0" t="n">
        <v>0.0571807736611126</v>
      </c>
    </row>
    <row r="114" customFormat="false" ht="12.8" hidden="false" customHeight="false" outlineLevel="0" collapsed="false">
      <c r="A114" s="0" t="n">
        <v>112</v>
      </c>
      <c r="B114" s="0" t="n">
        <v>0.0520804196470863</v>
      </c>
    </row>
    <row r="115" customFormat="false" ht="12.8" hidden="false" customHeight="false" outlineLevel="0" collapsed="false">
      <c r="A115" s="0" t="n">
        <v>113</v>
      </c>
      <c r="B115" s="0" t="n">
        <v>0.0568634806220768</v>
      </c>
    </row>
    <row r="116" customFormat="false" ht="12.8" hidden="false" customHeight="false" outlineLevel="0" collapsed="false">
      <c r="A116" s="0" t="n">
        <v>114</v>
      </c>
      <c r="B116" s="0" t="n">
        <v>0.0528463268540179</v>
      </c>
    </row>
    <row r="117" customFormat="false" ht="12.8" hidden="false" customHeight="false" outlineLevel="0" collapsed="false">
      <c r="A117" s="0" t="n">
        <v>115</v>
      </c>
      <c r="B117" s="0" t="n">
        <v>0.0566598589281124</v>
      </c>
    </row>
    <row r="118" customFormat="false" ht="12.8" hidden="false" customHeight="false" outlineLevel="0" collapsed="false">
      <c r="A118" s="0" t="n">
        <v>116</v>
      </c>
      <c r="B118" s="0" t="n">
        <v>0.0563950577078212</v>
      </c>
    </row>
    <row r="119" customFormat="false" ht="12.8" hidden="false" customHeight="false" outlineLevel="0" collapsed="false">
      <c r="A119" s="0" t="n">
        <v>117</v>
      </c>
      <c r="B119" s="0" t="n">
        <v>0.0549899868619465</v>
      </c>
    </row>
    <row r="120" customFormat="false" ht="12.8" hidden="false" customHeight="false" outlineLevel="0" collapsed="false">
      <c r="A120" s="0" t="n">
        <v>118</v>
      </c>
      <c r="B120" s="0" t="n">
        <v>0.0536312399646313</v>
      </c>
    </row>
    <row r="121" customFormat="false" ht="12.8" hidden="false" customHeight="false" outlineLevel="0" collapsed="false">
      <c r="A121" s="0" t="n">
        <v>119</v>
      </c>
      <c r="B121" s="0" t="n">
        <v>0.05286873703212</v>
      </c>
    </row>
    <row r="122" customFormat="false" ht="12.8" hidden="false" customHeight="false" outlineLevel="0" collapsed="false">
      <c r="A122" s="0" t="n">
        <v>120</v>
      </c>
      <c r="B122" s="0" t="n">
        <v>0.0504987780774012</v>
      </c>
    </row>
    <row r="123" customFormat="false" ht="12.8" hidden="false" customHeight="false" outlineLevel="0" collapsed="false">
      <c r="A123" s="0" t="n">
        <v>121</v>
      </c>
      <c r="B123" s="0" t="n">
        <v>0.0518685825161209</v>
      </c>
    </row>
    <row r="124" customFormat="false" ht="12.8" hidden="false" customHeight="false" outlineLevel="0" collapsed="false">
      <c r="A124" s="0" t="n">
        <v>122</v>
      </c>
      <c r="B124" s="0" t="n">
        <v>0.0512374069261003</v>
      </c>
    </row>
    <row r="125" customFormat="false" ht="12.8" hidden="false" customHeight="false" outlineLevel="0" collapsed="false">
      <c r="A125" s="0" t="n">
        <v>123</v>
      </c>
      <c r="B125" s="0" t="n">
        <v>0.051682625688146</v>
      </c>
    </row>
    <row r="126" customFormat="false" ht="12.8" hidden="false" customHeight="false" outlineLevel="0" collapsed="false">
      <c r="A126" s="0" t="n">
        <v>124</v>
      </c>
      <c r="B126" s="0" t="n">
        <v>0.054605848427475</v>
      </c>
    </row>
    <row r="127" customFormat="false" ht="12.8" hidden="false" customHeight="false" outlineLevel="0" collapsed="false">
      <c r="A127" s="0" t="n">
        <v>125</v>
      </c>
      <c r="B127" s="0" t="n">
        <v>0.0502739811901456</v>
      </c>
    </row>
    <row r="128" customFormat="false" ht="12.8" hidden="false" customHeight="false" outlineLevel="0" collapsed="false">
      <c r="A128" s="0" t="n">
        <v>126</v>
      </c>
      <c r="B128" s="0" t="n">
        <v>0.0587207899159139</v>
      </c>
    </row>
    <row r="129" customFormat="false" ht="12.8" hidden="false" customHeight="false" outlineLevel="0" collapsed="false">
      <c r="A129" s="0" t="n">
        <v>127</v>
      </c>
      <c r="B129" s="0" t="n">
        <v>0.0578041250009085</v>
      </c>
    </row>
    <row r="130" customFormat="false" ht="12.8" hidden="false" customHeight="false" outlineLevel="0" collapsed="false">
      <c r="A130" s="0" t="n">
        <v>128</v>
      </c>
      <c r="B130" s="0" t="n">
        <v>0.0544742978932592</v>
      </c>
    </row>
    <row r="131" customFormat="false" ht="12.8" hidden="false" customHeight="false" outlineLevel="0" collapsed="false">
      <c r="A131" s="0" t="n">
        <v>129</v>
      </c>
      <c r="B131" s="0" t="n">
        <v>0.0535532045986838</v>
      </c>
    </row>
    <row r="132" customFormat="false" ht="12.8" hidden="false" customHeight="false" outlineLevel="0" collapsed="false">
      <c r="A132" s="0" t="n">
        <v>130</v>
      </c>
      <c r="B132" s="0" t="n">
        <v>0.0531763124753711</v>
      </c>
    </row>
    <row r="133" customFormat="false" ht="12.8" hidden="false" customHeight="false" outlineLevel="0" collapsed="false">
      <c r="A133" s="0" t="n">
        <v>131</v>
      </c>
      <c r="B133" s="0" t="n">
        <v>0.0540725352614282</v>
      </c>
    </row>
    <row r="134" customFormat="false" ht="12.8" hidden="false" customHeight="false" outlineLevel="0" collapsed="false">
      <c r="A134" s="0" t="n">
        <v>132</v>
      </c>
      <c r="B134" s="0" t="n">
        <v>0.0548203594810805</v>
      </c>
    </row>
    <row r="135" customFormat="false" ht="12.8" hidden="false" customHeight="false" outlineLevel="0" collapsed="false">
      <c r="A135" s="0" t="n">
        <v>133</v>
      </c>
      <c r="B135" s="0" t="n">
        <v>0.0581695072276597</v>
      </c>
    </row>
    <row r="136" customFormat="false" ht="12.8" hidden="false" customHeight="false" outlineLevel="0" collapsed="false">
      <c r="A136" s="0" t="n">
        <v>134</v>
      </c>
      <c r="B136" s="0" t="n">
        <v>0.0547528480747441</v>
      </c>
    </row>
    <row r="137" customFormat="false" ht="12.8" hidden="false" customHeight="false" outlineLevel="0" collapsed="false">
      <c r="A137" s="0" t="n">
        <v>135</v>
      </c>
      <c r="B137" s="0" t="n">
        <v>0.0568907317272224</v>
      </c>
    </row>
    <row r="138" customFormat="false" ht="12.8" hidden="false" customHeight="false" outlineLevel="0" collapsed="false">
      <c r="A138" s="0" t="n">
        <v>136</v>
      </c>
      <c r="B138" s="0" t="n">
        <v>0.0577845185934164</v>
      </c>
    </row>
    <row r="139" customFormat="false" ht="12.8" hidden="false" customHeight="false" outlineLevel="0" collapsed="false">
      <c r="A139" s="0" t="n">
        <v>137</v>
      </c>
      <c r="B139" s="0" t="n">
        <v>0.0539669090755852</v>
      </c>
    </row>
    <row r="140" customFormat="false" ht="12.8" hidden="false" customHeight="false" outlineLevel="0" collapsed="false">
      <c r="A140" s="0" t="n">
        <v>138</v>
      </c>
      <c r="B140" s="0" t="n">
        <v>0.0543872710190788</v>
      </c>
    </row>
    <row r="141" customFormat="false" ht="12.8" hidden="false" customHeight="false" outlineLevel="0" collapsed="false">
      <c r="A141" s="0" t="n">
        <v>139</v>
      </c>
      <c r="B141" s="0" t="n">
        <v>0.0577549052885657</v>
      </c>
    </row>
    <row r="142" customFormat="false" ht="12.8" hidden="false" customHeight="false" outlineLevel="0" collapsed="false">
      <c r="A142" s="0" t="n">
        <v>140</v>
      </c>
      <c r="B142" s="0" t="n">
        <v>0.0555247771671292</v>
      </c>
    </row>
    <row r="143" customFormat="false" ht="12.8" hidden="false" customHeight="false" outlineLevel="0" collapsed="false">
      <c r="A143" s="0" t="n">
        <v>141</v>
      </c>
      <c r="B143" s="0" t="n">
        <v>0.0510068203764772</v>
      </c>
    </row>
    <row r="144" customFormat="false" ht="12.8" hidden="false" customHeight="false" outlineLevel="0" collapsed="false">
      <c r="A144" s="0" t="n">
        <v>142</v>
      </c>
      <c r="B144" s="0" t="n">
        <v>0.055378962143433</v>
      </c>
    </row>
    <row r="145" customFormat="false" ht="12.8" hidden="false" customHeight="false" outlineLevel="0" collapsed="false">
      <c r="A145" s="0" t="n">
        <v>143</v>
      </c>
      <c r="B145" s="0" t="n">
        <v>0.0520557654361535</v>
      </c>
    </row>
    <row r="146" customFormat="false" ht="12.8" hidden="false" customHeight="false" outlineLevel="0" collapsed="false">
      <c r="A146" s="0" t="n">
        <v>144</v>
      </c>
      <c r="B146" s="0" t="n">
        <v>0.0563156038075646</v>
      </c>
    </row>
    <row r="147" customFormat="false" ht="12.8" hidden="false" customHeight="false" outlineLevel="0" collapsed="false">
      <c r="A147" s="0" t="n">
        <v>145</v>
      </c>
      <c r="B147" s="0" t="n">
        <v>0.0547157406852188</v>
      </c>
    </row>
    <row r="148" customFormat="false" ht="12.8" hidden="false" customHeight="false" outlineLevel="0" collapsed="false">
      <c r="A148" s="0" t="n">
        <v>146</v>
      </c>
      <c r="B148" s="0" t="n">
        <v>0.0519880401662392</v>
      </c>
    </row>
    <row r="149" customFormat="false" ht="12.8" hidden="false" customHeight="false" outlineLevel="0" collapsed="false">
      <c r="A149" s="0" t="n">
        <v>147</v>
      </c>
      <c r="B149" s="0" t="n">
        <v>0.053460933137032</v>
      </c>
    </row>
    <row r="150" customFormat="false" ht="12.8" hidden="false" customHeight="false" outlineLevel="0" collapsed="false">
      <c r="A150" s="0" t="n">
        <v>148</v>
      </c>
      <c r="B150" s="0" t="n">
        <v>0.0552936676777387</v>
      </c>
    </row>
    <row r="151" customFormat="false" ht="12.8" hidden="false" customHeight="false" outlineLevel="0" collapsed="false">
      <c r="A151" s="0" t="n">
        <v>149</v>
      </c>
      <c r="B151" s="0" t="n">
        <v>0.0533832658693665</v>
      </c>
    </row>
    <row r="152" customFormat="false" ht="12.8" hidden="false" customHeight="false" outlineLevel="0" collapsed="false">
      <c r="A152" s="0" t="n">
        <v>150</v>
      </c>
      <c r="B152" s="0" t="n">
        <v>0.0580526206151685</v>
      </c>
    </row>
    <row r="153" customFormat="false" ht="12.8" hidden="false" customHeight="false" outlineLevel="0" collapsed="false">
      <c r="A153" s="0" t="n">
        <v>151</v>
      </c>
      <c r="B153" s="0" t="n">
        <v>0.0576398190759952</v>
      </c>
    </row>
    <row r="154" customFormat="false" ht="12.8" hidden="false" customHeight="false" outlineLevel="0" collapsed="false">
      <c r="A154" s="0" t="n">
        <v>152</v>
      </c>
      <c r="B154" s="0" t="n">
        <v>0.0582661937312871</v>
      </c>
    </row>
    <row r="155" customFormat="false" ht="12.8" hidden="false" customHeight="false" outlineLevel="0" collapsed="false">
      <c r="A155" s="0" t="n">
        <v>153</v>
      </c>
      <c r="B155" s="0" t="n">
        <v>0.0555489459257918</v>
      </c>
    </row>
    <row r="156" customFormat="false" ht="12.8" hidden="false" customHeight="false" outlineLevel="0" collapsed="false">
      <c r="A156" s="0" t="n">
        <v>154</v>
      </c>
      <c r="B156" s="0" t="n">
        <v>0.0529870908758467</v>
      </c>
    </row>
    <row r="157" customFormat="false" ht="12.8" hidden="false" customHeight="false" outlineLevel="0" collapsed="false">
      <c r="A157" s="0" t="n">
        <v>155</v>
      </c>
      <c r="B157" s="0" t="n">
        <v>0.0549267319891641</v>
      </c>
    </row>
    <row r="158" customFormat="false" ht="12.8" hidden="false" customHeight="false" outlineLevel="0" collapsed="false">
      <c r="A158" s="0" t="n">
        <v>156</v>
      </c>
      <c r="B158" s="0" t="n">
        <v>0.0530810092707812</v>
      </c>
    </row>
    <row r="159" customFormat="false" ht="12.8" hidden="false" customHeight="false" outlineLevel="0" collapsed="false">
      <c r="A159" s="0" t="n">
        <v>157</v>
      </c>
      <c r="B159" s="0" t="n">
        <v>0.0571737661959044</v>
      </c>
    </row>
    <row r="160" customFormat="false" ht="12.8" hidden="false" customHeight="false" outlineLevel="0" collapsed="false">
      <c r="A160" s="0" t="n">
        <v>158</v>
      </c>
      <c r="B160" s="0" t="n">
        <v>0.0564504963948693</v>
      </c>
    </row>
    <row r="161" customFormat="false" ht="12.8" hidden="false" customHeight="false" outlineLevel="0" collapsed="false">
      <c r="A161" s="0" t="n">
        <v>159</v>
      </c>
      <c r="B161" s="0" t="n">
        <v>0.057691012455137</v>
      </c>
    </row>
    <row r="162" customFormat="false" ht="12.8" hidden="false" customHeight="false" outlineLevel="0" collapsed="false">
      <c r="A162" s="0" t="n">
        <v>160</v>
      </c>
      <c r="B162" s="0" t="n">
        <v>0.0507311400795191</v>
      </c>
    </row>
    <row r="163" customFormat="false" ht="12.8" hidden="false" customHeight="false" outlineLevel="0" collapsed="false">
      <c r="A163" s="0" t="n">
        <v>161</v>
      </c>
      <c r="B163" s="0" t="n">
        <v>0.0552619304077962</v>
      </c>
    </row>
    <row r="164" customFormat="false" ht="12.8" hidden="false" customHeight="false" outlineLevel="0" collapsed="false">
      <c r="A164" s="0" t="n">
        <v>162</v>
      </c>
      <c r="B164" s="0" t="n">
        <v>0.0550241080498839</v>
      </c>
    </row>
    <row r="165" customFormat="false" ht="12.8" hidden="false" customHeight="false" outlineLevel="0" collapsed="false">
      <c r="A165" s="0" t="n">
        <v>163</v>
      </c>
      <c r="B165" s="0" t="n">
        <v>0.0566125942463669</v>
      </c>
    </row>
    <row r="166" customFormat="false" ht="12.8" hidden="false" customHeight="false" outlineLevel="0" collapsed="false">
      <c r="A166" s="0" t="n">
        <v>164</v>
      </c>
      <c r="B166" s="0" t="n">
        <v>0.0541511040815172</v>
      </c>
    </row>
    <row r="167" customFormat="false" ht="12.8" hidden="false" customHeight="false" outlineLevel="0" collapsed="false">
      <c r="A167" s="0" t="n">
        <v>165</v>
      </c>
      <c r="B167" s="0" t="n">
        <v>0.0543125202245107</v>
      </c>
    </row>
    <row r="168" customFormat="false" ht="12.8" hidden="false" customHeight="false" outlineLevel="0" collapsed="false">
      <c r="A168" s="0" t="n">
        <v>166</v>
      </c>
      <c r="B168" s="0" t="n">
        <v>0.0585983375494274</v>
      </c>
    </row>
    <row r="169" customFormat="false" ht="12.8" hidden="false" customHeight="false" outlineLevel="0" collapsed="false">
      <c r="A169" s="0" t="n">
        <v>167</v>
      </c>
      <c r="B169" s="0" t="n">
        <v>0.0599034972574211</v>
      </c>
    </row>
    <row r="170" customFormat="false" ht="12.8" hidden="false" customHeight="false" outlineLevel="0" collapsed="false">
      <c r="A170" s="0" t="n">
        <v>168</v>
      </c>
      <c r="B170" s="0" t="n">
        <v>0.058500901891797</v>
      </c>
    </row>
    <row r="171" customFormat="false" ht="12.8" hidden="false" customHeight="false" outlineLevel="0" collapsed="false">
      <c r="A171" s="0" t="n">
        <v>169</v>
      </c>
      <c r="B171" s="0" t="n">
        <v>0.0567197827495903</v>
      </c>
    </row>
    <row r="172" customFormat="false" ht="12.8" hidden="false" customHeight="false" outlineLevel="0" collapsed="false">
      <c r="A172" s="0" t="n">
        <v>170</v>
      </c>
      <c r="B172" s="0" t="n">
        <v>0.0559958028255652</v>
      </c>
    </row>
    <row r="173" customFormat="false" ht="12.8" hidden="false" customHeight="false" outlineLevel="0" collapsed="false">
      <c r="A173" s="0" t="n">
        <v>171</v>
      </c>
      <c r="B173" s="0" t="n">
        <v>0.0563071483074287</v>
      </c>
    </row>
    <row r="174" customFormat="false" ht="12.8" hidden="false" customHeight="false" outlineLevel="0" collapsed="false">
      <c r="A174" s="0" t="n">
        <v>172</v>
      </c>
      <c r="B174" s="0" t="n">
        <v>0.0515224569229461</v>
      </c>
    </row>
    <row r="175" customFormat="false" ht="12.8" hidden="false" customHeight="false" outlineLevel="0" collapsed="false">
      <c r="A175" s="0" t="n">
        <v>173</v>
      </c>
      <c r="B175" s="0" t="n">
        <v>0.0595269567479803</v>
      </c>
    </row>
    <row r="176" customFormat="false" ht="12.8" hidden="false" customHeight="false" outlineLevel="0" collapsed="false">
      <c r="A176" s="0" t="n">
        <v>174</v>
      </c>
      <c r="B176" s="0" t="n">
        <v>0.0546934602284846</v>
      </c>
    </row>
    <row r="177" customFormat="false" ht="12.8" hidden="false" customHeight="false" outlineLevel="0" collapsed="false">
      <c r="A177" s="0" t="n">
        <v>175</v>
      </c>
      <c r="B177" s="0" t="n">
        <v>0.0514957790248558</v>
      </c>
    </row>
    <row r="178" customFormat="false" ht="12.8" hidden="false" customHeight="false" outlineLevel="0" collapsed="false">
      <c r="A178" s="0" t="n">
        <v>176</v>
      </c>
      <c r="B178" s="0" t="n">
        <v>0.0585199704582154</v>
      </c>
    </row>
    <row r="179" customFormat="false" ht="12.8" hidden="false" customHeight="false" outlineLevel="0" collapsed="false">
      <c r="A179" s="0" t="n">
        <v>177</v>
      </c>
      <c r="B179" s="0" t="n">
        <v>0.0511767697346454</v>
      </c>
    </row>
    <row r="180" customFormat="false" ht="12.8" hidden="false" customHeight="false" outlineLevel="0" collapsed="false">
      <c r="A180" s="0" t="n">
        <v>178</v>
      </c>
      <c r="B180" s="0" t="n">
        <v>0.0569367372887558</v>
      </c>
    </row>
    <row r="181" customFormat="false" ht="12.8" hidden="false" customHeight="false" outlineLevel="0" collapsed="false">
      <c r="A181" s="0" t="n">
        <v>179</v>
      </c>
      <c r="B181" s="0" t="n">
        <v>0.0509156076765719</v>
      </c>
    </row>
    <row r="182" customFormat="false" ht="12.8" hidden="false" customHeight="false" outlineLevel="0" collapsed="false">
      <c r="A182" s="0" t="n">
        <v>180</v>
      </c>
      <c r="B182" s="0" t="n">
        <v>0.050907370922917</v>
      </c>
    </row>
    <row r="183" customFormat="false" ht="12.8" hidden="false" customHeight="false" outlineLevel="0" collapsed="false">
      <c r="A183" s="0" t="n">
        <v>181</v>
      </c>
      <c r="B183" s="0" t="n">
        <v>0.0567395829019328</v>
      </c>
    </row>
    <row r="184" customFormat="false" ht="12.8" hidden="false" customHeight="false" outlineLevel="0" collapsed="false">
      <c r="A184" s="0" t="n">
        <v>182</v>
      </c>
      <c r="B184" s="0" t="n">
        <v>0.0561991981598371</v>
      </c>
    </row>
    <row r="185" customFormat="false" ht="12.8" hidden="false" customHeight="false" outlineLevel="0" collapsed="false">
      <c r="A185" s="0" t="n">
        <v>183</v>
      </c>
      <c r="B185" s="0" t="n">
        <v>0.0518054680186864</v>
      </c>
    </row>
    <row r="186" customFormat="false" ht="12.8" hidden="false" customHeight="false" outlineLevel="0" collapsed="false">
      <c r="A186" s="0" t="n">
        <v>184</v>
      </c>
      <c r="B186" s="0" t="n">
        <v>0.0514806941571909</v>
      </c>
    </row>
    <row r="187" customFormat="false" ht="12.8" hidden="false" customHeight="false" outlineLevel="0" collapsed="false">
      <c r="A187" s="0" t="n">
        <v>185</v>
      </c>
      <c r="B187" s="0" t="n">
        <v>0.0566638979154958</v>
      </c>
    </row>
    <row r="188" customFormat="false" ht="12.8" hidden="false" customHeight="false" outlineLevel="0" collapsed="false">
      <c r="A188" s="0" t="n">
        <v>186</v>
      </c>
      <c r="B188" s="0" t="n">
        <v>0.0527426450891533</v>
      </c>
    </row>
    <row r="189" customFormat="false" ht="12.8" hidden="false" customHeight="false" outlineLevel="0" collapsed="false">
      <c r="A189" s="0" t="n">
        <v>187</v>
      </c>
      <c r="B189" s="0" t="n">
        <v>0.0571221909505217</v>
      </c>
    </row>
    <row r="190" customFormat="false" ht="12.8" hidden="false" customHeight="false" outlineLevel="0" collapsed="false">
      <c r="A190" s="0" t="n">
        <v>188</v>
      </c>
      <c r="B190" s="0" t="n">
        <v>0.0505027985192539</v>
      </c>
    </row>
    <row r="191" customFormat="false" ht="12.8" hidden="false" customHeight="false" outlineLevel="0" collapsed="false">
      <c r="A191" s="0" t="n">
        <v>189</v>
      </c>
      <c r="B191" s="0" t="n">
        <v>0.0546414412919414</v>
      </c>
    </row>
    <row r="192" customFormat="false" ht="12.8" hidden="false" customHeight="false" outlineLevel="0" collapsed="false">
      <c r="A192" s="0" t="n">
        <v>190</v>
      </c>
      <c r="B192" s="0" t="n">
        <v>0.0569713692354877</v>
      </c>
    </row>
    <row r="193" customFormat="false" ht="12.8" hidden="false" customHeight="false" outlineLevel="0" collapsed="false">
      <c r="A193" s="0" t="n">
        <v>191</v>
      </c>
      <c r="B193" s="0" t="n">
        <v>0.0571756160094856</v>
      </c>
    </row>
    <row r="194" customFormat="false" ht="12.8" hidden="false" customHeight="false" outlineLevel="0" collapsed="false">
      <c r="A194" s="0" t="n">
        <v>192</v>
      </c>
      <c r="B194" s="0" t="n">
        <v>0.0589276492146267</v>
      </c>
    </row>
    <row r="195" customFormat="false" ht="12.8" hidden="false" customHeight="false" outlineLevel="0" collapsed="false">
      <c r="A195" s="0" t="n">
        <v>193</v>
      </c>
      <c r="B195" s="0" t="n">
        <v>0.059337980024867</v>
      </c>
    </row>
    <row r="196" customFormat="false" ht="12.8" hidden="false" customHeight="false" outlineLevel="0" collapsed="false">
      <c r="A196" s="0" t="n">
        <v>194</v>
      </c>
      <c r="B196" s="0" t="n">
        <v>0.0576763537051184</v>
      </c>
    </row>
    <row r="197" customFormat="false" ht="12.8" hidden="false" customHeight="false" outlineLevel="0" collapsed="false">
      <c r="A197" s="0" t="n">
        <v>195</v>
      </c>
      <c r="B197" s="0" t="n">
        <v>0.0573361805306832</v>
      </c>
    </row>
    <row r="198" customFormat="false" ht="12.8" hidden="false" customHeight="false" outlineLevel="0" collapsed="false">
      <c r="A198" s="0" t="n">
        <v>196</v>
      </c>
      <c r="B198" s="0" t="n">
        <v>0.0519550893320884</v>
      </c>
    </row>
    <row r="199" customFormat="false" ht="12.8" hidden="false" customHeight="false" outlineLevel="0" collapsed="false">
      <c r="A199" s="0" t="n">
        <v>197</v>
      </c>
      <c r="B199" s="0" t="n">
        <v>0.0580164371652156</v>
      </c>
    </row>
    <row r="200" customFormat="false" ht="12.8" hidden="false" customHeight="false" outlineLevel="0" collapsed="false">
      <c r="A200" s="0" t="n">
        <v>198</v>
      </c>
      <c r="B200" s="0" t="n">
        <v>0.0561010323623281</v>
      </c>
    </row>
    <row r="201" customFormat="false" ht="12.8" hidden="false" customHeight="false" outlineLevel="0" collapsed="false">
      <c r="A201" s="0" t="n">
        <v>199</v>
      </c>
      <c r="B201" s="0" t="n">
        <v>0.0556933112677468</v>
      </c>
    </row>
    <row r="202" customFormat="false" ht="12.8" hidden="false" customHeight="false" outlineLevel="0" collapsed="false">
      <c r="A202" s="0" t="n">
        <v>200</v>
      </c>
      <c r="B202" s="0" t="n">
        <v>0.0553623965011312</v>
      </c>
    </row>
    <row r="203" customFormat="false" ht="12.8" hidden="false" customHeight="false" outlineLevel="0" collapsed="false">
      <c r="A203" s="0" t="n">
        <v>201</v>
      </c>
      <c r="B203" s="0" t="n">
        <v>0.0515035232438222</v>
      </c>
    </row>
    <row r="204" customFormat="false" ht="12.8" hidden="false" customHeight="false" outlineLevel="0" collapsed="false">
      <c r="A204" s="0" t="n">
        <v>202</v>
      </c>
      <c r="B204" s="0" t="n">
        <v>0.0598561191227369</v>
      </c>
    </row>
    <row r="205" customFormat="false" ht="12.8" hidden="false" customHeight="false" outlineLevel="0" collapsed="false">
      <c r="A205" s="0" t="n">
        <v>203</v>
      </c>
      <c r="B205" s="0" t="n">
        <v>0.0540970454758245</v>
      </c>
    </row>
    <row r="206" customFormat="false" ht="12.8" hidden="false" customHeight="false" outlineLevel="0" collapsed="false">
      <c r="A206" s="0" t="n">
        <v>204</v>
      </c>
      <c r="B206" s="0" t="n">
        <v>0.0552566727718431</v>
      </c>
    </row>
    <row r="207" customFormat="false" ht="12.8" hidden="false" customHeight="false" outlineLevel="0" collapsed="false">
      <c r="A207" s="0" t="n">
        <v>205</v>
      </c>
      <c r="B207" s="0" t="n">
        <v>0.0579411159062133</v>
      </c>
    </row>
    <row r="208" customFormat="false" ht="12.8" hidden="false" customHeight="false" outlineLevel="0" collapsed="false">
      <c r="A208" s="0" t="n">
        <v>206</v>
      </c>
      <c r="B208" s="0" t="n">
        <v>0.0561313352319545</v>
      </c>
    </row>
    <row r="209" customFormat="false" ht="12.8" hidden="false" customHeight="false" outlineLevel="0" collapsed="false">
      <c r="A209" s="0" t="n">
        <v>207</v>
      </c>
      <c r="B209" s="0" t="n">
        <v>0.0590960252332945</v>
      </c>
    </row>
    <row r="210" customFormat="false" ht="12.8" hidden="false" customHeight="false" outlineLevel="0" collapsed="false">
      <c r="A210" s="0" t="n">
        <v>208</v>
      </c>
      <c r="B210" s="0" t="n">
        <v>0.0507394498974619</v>
      </c>
    </row>
    <row r="211" customFormat="false" ht="12.8" hidden="false" customHeight="false" outlineLevel="0" collapsed="false">
      <c r="A211" s="0" t="n">
        <v>209</v>
      </c>
      <c r="B211" s="0" t="n">
        <v>0.0511820907584123</v>
      </c>
    </row>
    <row r="212" customFormat="false" ht="12.8" hidden="false" customHeight="false" outlineLevel="0" collapsed="false">
      <c r="A212" s="0" t="n">
        <v>210</v>
      </c>
      <c r="B212" s="0" t="n">
        <v>0.0543839115766321</v>
      </c>
    </row>
    <row r="213" customFormat="false" ht="12.8" hidden="false" customHeight="false" outlineLevel="0" collapsed="false">
      <c r="A213" s="0" t="n">
        <v>211</v>
      </c>
      <c r="B213" s="0" t="n">
        <v>0.0574975319482215</v>
      </c>
    </row>
    <row r="214" customFormat="false" ht="12.8" hidden="false" customHeight="false" outlineLevel="0" collapsed="false">
      <c r="A214" s="0" t="n">
        <v>212</v>
      </c>
      <c r="B214" s="0" t="n">
        <v>0.0541619069977916</v>
      </c>
    </row>
    <row r="215" customFormat="false" ht="12.8" hidden="false" customHeight="false" outlineLevel="0" collapsed="false">
      <c r="A215" s="0" t="n">
        <v>213</v>
      </c>
      <c r="B215" s="0" t="n">
        <v>0.0565877441498135</v>
      </c>
    </row>
    <row r="216" customFormat="false" ht="12.8" hidden="false" customHeight="false" outlineLevel="0" collapsed="false">
      <c r="A216" s="0" t="n">
        <v>214</v>
      </c>
      <c r="B216" s="0" t="n">
        <v>0.0592843497696168</v>
      </c>
    </row>
    <row r="217" customFormat="false" ht="12.8" hidden="false" customHeight="false" outlineLevel="0" collapsed="false">
      <c r="A217" s="0" t="n">
        <v>215</v>
      </c>
      <c r="B217" s="0" t="n">
        <v>0.0517023040218497</v>
      </c>
    </row>
    <row r="218" customFormat="false" ht="12.8" hidden="false" customHeight="false" outlineLevel="0" collapsed="false">
      <c r="A218" s="0" t="n">
        <v>216</v>
      </c>
      <c r="B218" s="0" t="n">
        <v>0.0587564248413105</v>
      </c>
    </row>
    <row r="219" customFormat="false" ht="12.8" hidden="false" customHeight="false" outlineLevel="0" collapsed="false">
      <c r="A219" s="0" t="n">
        <v>217</v>
      </c>
      <c r="B219" s="0" t="n">
        <v>0.0592465534298946</v>
      </c>
    </row>
    <row r="220" customFormat="false" ht="12.8" hidden="false" customHeight="false" outlineLevel="0" collapsed="false">
      <c r="A220" s="0" t="n">
        <v>218</v>
      </c>
      <c r="B220" s="0" t="n">
        <v>0.0594726540775944</v>
      </c>
    </row>
    <row r="221" customFormat="false" ht="12.8" hidden="false" customHeight="false" outlineLevel="0" collapsed="false">
      <c r="A221" s="0" t="n">
        <v>219</v>
      </c>
      <c r="B221" s="0" t="n">
        <v>0.0534586559797235</v>
      </c>
    </row>
    <row r="222" customFormat="false" ht="12.8" hidden="false" customHeight="false" outlineLevel="0" collapsed="false">
      <c r="A222" s="0" t="n">
        <v>220</v>
      </c>
      <c r="B222" s="0" t="n">
        <v>0.054897349152661</v>
      </c>
    </row>
    <row r="223" customFormat="false" ht="12.8" hidden="false" customHeight="false" outlineLevel="0" collapsed="false">
      <c r="A223" s="0" t="n">
        <v>221</v>
      </c>
      <c r="B223" s="0" t="n">
        <v>0.0582062649278604</v>
      </c>
    </row>
    <row r="224" customFormat="false" ht="12.8" hidden="false" customHeight="false" outlineLevel="0" collapsed="false">
      <c r="A224" s="0" t="n">
        <v>222</v>
      </c>
      <c r="B224" s="0" t="n">
        <v>0.0572836260736936</v>
      </c>
    </row>
    <row r="225" customFormat="false" ht="12.8" hidden="false" customHeight="false" outlineLevel="0" collapsed="false">
      <c r="A225" s="0" t="n">
        <v>223</v>
      </c>
      <c r="B225" s="0" t="n">
        <v>0.051384435637265</v>
      </c>
    </row>
    <row r="226" customFormat="false" ht="12.8" hidden="false" customHeight="false" outlineLevel="0" collapsed="false">
      <c r="A226" s="0" t="n">
        <v>224</v>
      </c>
      <c r="B226" s="0" t="n">
        <v>0.0521354085829914</v>
      </c>
    </row>
    <row r="227" customFormat="false" ht="12.8" hidden="false" customHeight="false" outlineLevel="0" collapsed="false">
      <c r="A227" s="0" t="n">
        <v>225</v>
      </c>
      <c r="B227" s="0" t="n">
        <v>0.0575845997143626</v>
      </c>
    </row>
    <row r="228" customFormat="false" ht="12.8" hidden="false" customHeight="false" outlineLevel="0" collapsed="false">
      <c r="A228" s="0" t="n">
        <v>226</v>
      </c>
      <c r="B228" s="0" t="n">
        <v>0.0507818461470945</v>
      </c>
    </row>
    <row r="229" customFormat="false" ht="12.8" hidden="false" customHeight="false" outlineLevel="0" collapsed="false">
      <c r="A229" s="0" t="n">
        <v>227</v>
      </c>
      <c r="B229" s="0" t="n">
        <v>0.0571858166453377</v>
      </c>
    </row>
    <row r="230" customFormat="false" ht="12.8" hidden="false" customHeight="false" outlineLevel="0" collapsed="false">
      <c r="A230" s="0" t="n">
        <v>228</v>
      </c>
      <c r="B230" s="0" t="n">
        <v>0.0595007659786398</v>
      </c>
    </row>
    <row r="231" customFormat="false" ht="12.8" hidden="false" customHeight="false" outlineLevel="0" collapsed="false">
      <c r="A231" s="0" t="n">
        <v>229</v>
      </c>
      <c r="B231" s="0" t="n">
        <v>0.058035811216027</v>
      </c>
    </row>
    <row r="232" customFormat="false" ht="12.8" hidden="false" customHeight="false" outlineLevel="0" collapsed="false">
      <c r="A232" s="0" t="n">
        <v>230</v>
      </c>
      <c r="B232" s="0" t="n">
        <v>0.0536026354253207</v>
      </c>
    </row>
    <row r="233" customFormat="false" ht="12.8" hidden="false" customHeight="false" outlineLevel="0" collapsed="false">
      <c r="A233" s="0" t="n">
        <v>231</v>
      </c>
      <c r="B233" s="0" t="n">
        <v>0.0519721648942803</v>
      </c>
    </row>
    <row r="234" customFormat="false" ht="12.8" hidden="false" customHeight="false" outlineLevel="0" collapsed="false">
      <c r="A234" s="0" t="n">
        <v>232</v>
      </c>
      <c r="B234" s="0" t="n">
        <v>0.0587116394987599</v>
      </c>
    </row>
    <row r="235" customFormat="false" ht="12.8" hidden="false" customHeight="false" outlineLevel="0" collapsed="false">
      <c r="A235" s="0" t="n">
        <v>233</v>
      </c>
      <c r="B235" s="0" t="n">
        <v>0.054778969386017</v>
      </c>
    </row>
    <row r="236" customFormat="false" ht="12.8" hidden="false" customHeight="false" outlineLevel="0" collapsed="false">
      <c r="A236" s="0" t="n">
        <v>234</v>
      </c>
      <c r="B236" s="0" t="n">
        <v>0.0568730493096213</v>
      </c>
    </row>
    <row r="237" customFormat="false" ht="12.8" hidden="false" customHeight="false" outlineLevel="0" collapsed="false">
      <c r="A237" s="0" t="n">
        <v>235</v>
      </c>
      <c r="B237" s="0" t="n">
        <v>0.0588343546852963</v>
      </c>
    </row>
    <row r="238" customFormat="false" ht="12.8" hidden="false" customHeight="false" outlineLevel="0" collapsed="false">
      <c r="A238" s="0" t="n">
        <v>236</v>
      </c>
      <c r="B238" s="0" t="n">
        <v>0.0571762683928259</v>
      </c>
    </row>
    <row r="239" customFormat="false" ht="12.8" hidden="false" customHeight="false" outlineLevel="0" collapsed="false">
      <c r="A239" s="0" t="n">
        <v>237</v>
      </c>
      <c r="B239" s="0" t="n">
        <v>0.0567435621500586</v>
      </c>
    </row>
    <row r="240" customFormat="false" ht="12.8" hidden="false" customHeight="false" outlineLevel="0" collapsed="false">
      <c r="A240" s="0" t="n">
        <v>238</v>
      </c>
      <c r="B240" s="0" t="n">
        <v>0.0587985262917701</v>
      </c>
    </row>
    <row r="241" customFormat="false" ht="12.8" hidden="false" customHeight="false" outlineLevel="0" collapsed="false">
      <c r="A241" s="0" t="n">
        <v>239</v>
      </c>
      <c r="B241" s="0" t="n">
        <v>0.0597365939116348</v>
      </c>
    </row>
    <row r="242" customFormat="false" ht="12.8" hidden="false" customHeight="false" outlineLevel="0" collapsed="false">
      <c r="A242" s="0" t="n">
        <v>240</v>
      </c>
      <c r="B242" s="0" t="n">
        <v>0.0589590432265653</v>
      </c>
    </row>
    <row r="243" customFormat="false" ht="12.8" hidden="false" customHeight="false" outlineLevel="0" collapsed="false">
      <c r="A243" s="0" t="n">
        <v>241</v>
      </c>
      <c r="B243" s="0" t="n">
        <v>0.0550086591768984</v>
      </c>
    </row>
    <row r="244" customFormat="false" ht="12.8" hidden="false" customHeight="false" outlineLevel="0" collapsed="false">
      <c r="A244" s="0" t="n">
        <v>242</v>
      </c>
      <c r="B244" s="0" t="n">
        <v>0.0562532732431204</v>
      </c>
    </row>
    <row r="245" customFormat="false" ht="12.8" hidden="false" customHeight="false" outlineLevel="0" collapsed="false">
      <c r="A245" s="0" t="n">
        <v>243</v>
      </c>
      <c r="B245" s="0" t="n">
        <v>0.0565884125451018</v>
      </c>
    </row>
    <row r="246" customFormat="false" ht="12.8" hidden="false" customHeight="false" outlineLevel="0" collapsed="false">
      <c r="A246" s="0" t="n">
        <v>244</v>
      </c>
      <c r="B246" s="0" t="n">
        <v>0.0543060761335246</v>
      </c>
    </row>
    <row r="247" customFormat="false" ht="12.8" hidden="false" customHeight="false" outlineLevel="0" collapsed="false">
      <c r="A247" s="0" t="n">
        <v>245</v>
      </c>
      <c r="B247" s="0" t="n">
        <v>0.0558515747283096</v>
      </c>
    </row>
    <row r="248" customFormat="false" ht="12.8" hidden="false" customHeight="false" outlineLevel="0" collapsed="false">
      <c r="A248" s="0" t="n">
        <v>246</v>
      </c>
      <c r="B248" s="0" t="n">
        <v>0.0592558822699268</v>
      </c>
    </row>
    <row r="249" customFormat="false" ht="12.8" hidden="false" customHeight="false" outlineLevel="0" collapsed="false">
      <c r="A249" s="0" t="n">
        <v>247</v>
      </c>
      <c r="B249" s="0" t="n">
        <v>0.0517367789238391</v>
      </c>
    </row>
    <row r="250" customFormat="false" ht="12.8" hidden="false" customHeight="false" outlineLevel="0" collapsed="false">
      <c r="A250" s="0" t="n">
        <v>248</v>
      </c>
      <c r="B250" s="0" t="n">
        <v>0.0553772704072081</v>
      </c>
    </row>
    <row r="251" customFormat="false" ht="12.8" hidden="false" customHeight="false" outlineLevel="0" collapsed="false">
      <c r="A251" s="0" t="n">
        <v>249</v>
      </c>
      <c r="B251" s="0" t="n">
        <v>0.056469560136749</v>
      </c>
    </row>
    <row r="252" customFormat="false" ht="12.8" hidden="false" customHeight="false" outlineLevel="0" collapsed="false">
      <c r="A252" s="0" t="n">
        <v>250</v>
      </c>
      <c r="B252" s="0" t="n">
        <v>0.0579338727416632</v>
      </c>
    </row>
    <row r="253" customFormat="false" ht="12.8" hidden="false" customHeight="false" outlineLevel="0" collapsed="false">
      <c r="A253" s="0" t="n">
        <v>251</v>
      </c>
      <c r="B253" s="0" t="n">
        <v>0.0575307137123217</v>
      </c>
    </row>
    <row r="254" customFormat="false" ht="12.8" hidden="false" customHeight="false" outlineLevel="0" collapsed="false">
      <c r="A254" s="0" t="n">
        <v>252</v>
      </c>
      <c r="B254" s="0" t="n">
        <v>0.0593471389029428</v>
      </c>
    </row>
    <row r="255" customFormat="false" ht="12.8" hidden="false" customHeight="false" outlineLevel="0" collapsed="false">
      <c r="A255" s="0" t="n">
        <v>253</v>
      </c>
      <c r="B255" s="0" t="n">
        <v>0.0543948606580365</v>
      </c>
    </row>
    <row r="256" customFormat="false" ht="12.8" hidden="false" customHeight="false" outlineLevel="0" collapsed="false">
      <c r="A256" s="0" t="n">
        <v>254</v>
      </c>
      <c r="B256" s="0" t="n">
        <v>0.0522741537764838</v>
      </c>
    </row>
    <row r="257" customFormat="false" ht="12.8" hidden="false" customHeight="false" outlineLevel="0" collapsed="false">
      <c r="A257" s="0" t="n">
        <v>255</v>
      </c>
      <c r="B257" s="0" t="n">
        <v>0.053287640865749</v>
      </c>
    </row>
    <row r="258" customFormat="false" ht="12.8" hidden="false" customHeight="false" outlineLevel="0" collapsed="false">
      <c r="A258" s="0" t="n">
        <v>256</v>
      </c>
      <c r="B258" s="0" t="n">
        <v>0.0554371127222346</v>
      </c>
    </row>
    <row r="259" customFormat="false" ht="12.8" hidden="false" customHeight="false" outlineLevel="0" collapsed="false">
      <c r="A259" s="0" t="n">
        <v>257</v>
      </c>
      <c r="B259" s="0" t="n">
        <v>0.0544121649759909</v>
      </c>
    </row>
    <row r="260" customFormat="false" ht="12.8" hidden="false" customHeight="false" outlineLevel="0" collapsed="false">
      <c r="A260" s="0" t="n">
        <v>258</v>
      </c>
      <c r="B260" s="0" t="n">
        <v>0.0579270559780634</v>
      </c>
    </row>
    <row r="261" customFormat="false" ht="12.8" hidden="false" customHeight="false" outlineLevel="0" collapsed="false">
      <c r="A261" s="0" t="n">
        <v>259</v>
      </c>
      <c r="B261" s="0" t="n">
        <v>0.0509193766431737</v>
      </c>
    </row>
    <row r="262" customFormat="false" ht="12.8" hidden="false" customHeight="false" outlineLevel="0" collapsed="false">
      <c r="A262" s="0" t="n">
        <v>260</v>
      </c>
      <c r="B262" s="0" t="n">
        <v>0.0563559535600526</v>
      </c>
    </row>
    <row r="263" customFormat="false" ht="12.8" hidden="false" customHeight="false" outlineLevel="0" collapsed="false">
      <c r="A263" s="0" t="n">
        <v>261</v>
      </c>
      <c r="B263" s="0" t="n">
        <v>0.050230785986942</v>
      </c>
    </row>
    <row r="264" customFormat="false" ht="12.8" hidden="false" customHeight="false" outlineLevel="0" collapsed="false">
      <c r="A264" s="0" t="n">
        <v>262</v>
      </c>
      <c r="B264" s="0" t="n">
        <v>0.0528911579187954</v>
      </c>
    </row>
    <row r="265" customFormat="false" ht="12.8" hidden="false" customHeight="false" outlineLevel="0" collapsed="false">
      <c r="A265" s="0" t="n">
        <v>263</v>
      </c>
      <c r="B265" s="0" t="n">
        <v>0.0533457100532961</v>
      </c>
    </row>
    <row r="266" customFormat="false" ht="12.8" hidden="false" customHeight="false" outlineLevel="0" collapsed="false">
      <c r="A266" s="0" t="n">
        <v>264</v>
      </c>
      <c r="B266" s="0" t="n">
        <v>0.0556926945327956</v>
      </c>
    </row>
    <row r="267" customFormat="false" ht="12.8" hidden="false" customHeight="false" outlineLevel="0" collapsed="false">
      <c r="A267" s="0" t="n">
        <v>265</v>
      </c>
      <c r="B267" s="0" t="n">
        <v>0.0511953609932211</v>
      </c>
    </row>
    <row r="268" customFormat="false" ht="12.8" hidden="false" customHeight="false" outlineLevel="0" collapsed="false">
      <c r="A268" s="0" t="n">
        <v>266</v>
      </c>
      <c r="B268" s="0" t="n">
        <v>0.0504640071553659</v>
      </c>
    </row>
    <row r="269" customFormat="false" ht="12.8" hidden="false" customHeight="false" outlineLevel="0" collapsed="false">
      <c r="A269" s="0" t="n">
        <v>267</v>
      </c>
      <c r="B269" s="0" t="n">
        <v>0.05646727142682</v>
      </c>
    </row>
    <row r="270" customFormat="false" ht="12.8" hidden="false" customHeight="false" outlineLevel="0" collapsed="false">
      <c r="A270" s="0" t="n">
        <v>268</v>
      </c>
      <c r="B270" s="0" t="n">
        <v>0.0531276818125996</v>
      </c>
    </row>
    <row r="271" customFormat="false" ht="12.8" hidden="false" customHeight="false" outlineLevel="0" collapsed="false">
      <c r="A271" s="0" t="n">
        <v>269</v>
      </c>
      <c r="B271" s="0" t="n">
        <v>0.0588182513847113</v>
      </c>
    </row>
    <row r="272" customFormat="false" ht="12.8" hidden="false" customHeight="false" outlineLevel="0" collapsed="false">
      <c r="A272" s="0" t="n">
        <v>270</v>
      </c>
      <c r="B272" s="0" t="n">
        <v>0.0551813729197462</v>
      </c>
    </row>
    <row r="273" customFormat="false" ht="12.8" hidden="false" customHeight="false" outlineLevel="0" collapsed="false">
      <c r="A273" s="0" t="n">
        <v>271</v>
      </c>
      <c r="B273" s="0" t="n">
        <v>0.0585517627500972</v>
      </c>
    </row>
    <row r="274" customFormat="false" ht="12.8" hidden="false" customHeight="false" outlineLevel="0" collapsed="false">
      <c r="A274" s="0" t="n">
        <v>272</v>
      </c>
      <c r="B274" s="0" t="n">
        <v>0.0518684133081795</v>
      </c>
    </row>
    <row r="275" customFormat="false" ht="12.8" hidden="false" customHeight="false" outlineLevel="0" collapsed="false">
      <c r="A275" s="0" t="n">
        <v>273</v>
      </c>
      <c r="B275" s="0" t="n">
        <v>0.0515880690271077</v>
      </c>
    </row>
    <row r="276" customFormat="false" ht="12.8" hidden="false" customHeight="false" outlineLevel="0" collapsed="false">
      <c r="A276" s="0" t="n">
        <v>274</v>
      </c>
      <c r="B276" s="0" t="n">
        <v>0.0577510871140358</v>
      </c>
    </row>
    <row r="277" customFormat="false" ht="12.8" hidden="false" customHeight="false" outlineLevel="0" collapsed="false">
      <c r="A277" s="0" t="n">
        <v>275</v>
      </c>
      <c r="B277" s="0" t="n">
        <v>0.0542314363243439</v>
      </c>
    </row>
    <row r="278" customFormat="false" ht="12.8" hidden="false" customHeight="false" outlineLevel="0" collapsed="false">
      <c r="A278" s="0" t="n">
        <v>276</v>
      </c>
      <c r="B278" s="0" t="n">
        <v>0.0598296629996592</v>
      </c>
    </row>
    <row r="279" customFormat="false" ht="12.8" hidden="false" customHeight="false" outlineLevel="0" collapsed="false">
      <c r="A279" s="0" t="n">
        <v>277</v>
      </c>
      <c r="B279" s="0" t="n">
        <v>0.0503362249784605</v>
      </c>
    </row>
    <row r="280" customFormat="false" ht="12.8" hidden="false" customHeight="false" outlineLevel="0" collapsed="false">
      <c r="A280" s="0" t="n">
        <v>278</v>
      </c>
      <c r="B280" s="0" t="n">
        <v>0.0593155511298936</v>
      </c>
    </row>
    <row r="281" customFormat="false" ht="12.8" hidden="false" customHeight="false" outlineLevel="0" collapsed="false">
      <c r="A281" s="0" t="n">
        <v>279</v>
      </c>
      <c r="B281" s="0" t="n">
        <v>0.0512294591213779</v>
      </c>
    </row>
    <row r="282" customFormat="false" ht="12.8" hidden="false" customHeight="false" outlineLevel="0" collapsed="false">
      <c r="A282" s="0" t="n">
        <v>280</v>
      </c>
      <c r="B282" s="0" t="n">
        <v>0.0564073992090972</v>
      </c>
    </row>
    <row r="283" customFormat="false" ht="12.8" hidden="false" customHeight="false" outlineLevel="0" collapsed="false">
      <c r="A283" s="0" t="n">
        <v>281</v>
      </c>
      <c r="B283" s="0" t="n">
        <v>0.0583607036744891</v>
      </c>
    </row>
    <row r="284" customFormat="false" ht="12.8" hidden="false" customHeight="false" outlineLevel="0" collapsed="false">
      <c r="A284" s="0" t="n">
        <v>282</v>
      </c>
      <c r="B284" s="0" t="n">
        <v>0.056106146496799</v>
      </c>
    </row>
    <row r="285" customFormat="false" ht="12.8" hidden="false" customHeight="false" outlineLevel="0" collapsed="false">
      <c r="A285" s="0" t="n">
        <v>283</v>
      </c>
      <c r="B285" s="0" t="n">
        <v>0.0599515359888126</v>
      </c>
    </row>
    <row r="286" customFormat="false" ht="12.8" hidden="false" customHeight="false" outlineLevel="0" collapsed="false">
      <c r="A286" s="0" t="n">
        <v>284</v>
      </c>
      <c r="B286" s="0" t="n">
        <v>0.0546298577919174</v>
      </c>
    </row>
    <row r="287" customFormat="false" ht="12.8" hidden="false" customHeight="false" outlineLevel="0" collapsed="false">
      <c r="A287" s="0" t="n">
        <v>285</v>
      </c>
      <c r="B287" s="0" t="n">
        <v>0.0595296951350509</v>
      </c>
    </row>
    <row r="288" customFormat="false" ht="12.8" hidden="false" customHeight="false" outlineLevel="0" collapsed="false">
      <c r="A288" s="0" t="n">
        <v>286</v>
      </c>
      <c r="B288" s="0" t="n">
        <v>0.0545031837711846</v>
      </c>
    </row>
    <row r="289" customFormat="false" ht="12.8" hidden="false" customHeight="false" outlineLevel="0" collapsed="false">
      <c r="A289" s="0" t="n">
        <v>287</v>
      </c>
      <c r="B289" s="0" t="n">
        <v>0.0548283497929978</v>
      </c>
    </row>
    <row r="290" customFormat="false" ht="12.8" hidden="false" customHeight="false" outlineLevel="0" collapsed="false">
      <c r="A290" s="0" t="n">
        <v>288</v>
      </c>
      <c r="B290" s="0" t="n">
        <v>0.0517545815547126</v>
      </c>
    </row>
    <row r="291" customFormat="false" ht="12.8" hidden="false" customHeight="false" outlineLevel="0" collapsed="false">
      <c r="A291" s="0" t="n">
        <v>289</v>
      </c>
      <c r="B291" s="0" t="n">
        <v>0.0527258543891891</v>
      </c>
    </row>
    <row r="292" customFormat="false" ht="12.8" hidden="false" customHeight="false" outlineLevel="0" collapsed="false">
      <c r="A292" s="0" t="n">
        <v>290</v>
      </c>
      <c r="B292" s="0" t="n">
        <v>0.0570468315751273</v>
      </c>
    </row>
    <row r="293" customFormat="false" ht="12.8" hidden="false" customHeight="false" outlineLevel="0" collapsed="false">
      <c r="A293" s="0" t="n">
        <v>291</v>
      </c>
      <c r="B293" s="0" t="n">
        <v>0.0530000284732315</v>
      </c>
    </row>
    <row r="294" customFormat="false" ht="12.8" hidden="false" customHeight="false" outlineLevel="0" collapsed="false">
      <c r="A294" s="0" t="n">
        <v>292</v>
      </c>
      <c r="B294" s="0" t="n">
        <v>0.055798813226295</v>
      </c>
    </row>
    <row r="295" customFormat="false" ht="12.8" hidden="false" customHeight="false" outlineLevel="0" collapsed="false">
      <c r="A295" s="0" t="n">
        <v>293</v>
      </c>
      <c r="B295" s="0" t="n">
        <v>0.0587468634697537</v>
      </c>
    </row>
    <row r="296" customFormat="false" ht="12.8" hidden="false" customHeight="false" outlineLevel="0" collapsed="false">
      <c r="A296" s="0" t="n">
        <v>294</v>
      </c>
      <c r="B296" s="0" t="n">
        <v>0.0541830150339723</v>
      </c>
    </row>
    <row r="297" customFormat="false" ht="12.8" hidden="false" customHeight="false" outlineLevel="0" collapsed="false">
      <c r="A297" s="0" t="n">
        <v>295</v>
      </c>
      <c r="B297" s="0" t="n">
        <v>0.0502233046371368</v>
      </c>
    </row>
    <row r="298" customFormat="false" ht="12.8" hidden="false" customHeight="false" outlineLevel="0" collapsed="false">
      <c r="A298" s="0" t="n">
        <v>296</v>
      </c>
      <c r="B298" s="0" t="n">
        <v>0.056465034095794</v>
      </c>
    </row>
    <row r="299" customFormat="false" ht="12.8" hidden="false" customHeight="false" outlineLevel="0" collapsed="false">
      <c r="A299" s="0" t="n">
        <v>297</v>
      </c>
      <c r="B299" s="0" t="n">
        <v>0.0553983581130394</v>
      </c>
    </row>
    <row r="300" customFormat="false" ht="12.8" hidden="false" customHeight="false" outlineLevel="0" collapsed="false">
      <c r="A300" s="0" t="n">
        <v>298</v>
      </c>
      <c r="B300" s="0" t="n">
        <v>0.050990413278431</v>
      </c>
    </row>
    <row r="301" customFormat="false" ht="12.8" hidden="false" customHeight="false" outlineLevel="0" collapsed="false">
      <c r="A301" s="0" t="n">
        <v>299</v>
      </c>
      <c r="B301" s="0" t="n">
        <v>0.0565000307566197</v>
      </c>
    </row>
    <row r="302" customFormat="false" ht="12.8" hidden="false" customHeight="false" outlineLevel="0" collapsed="false">
      <c r="A302" s="0" t="n">
        <v>300</v>
      </c>
      <c r="B302" s="0" t="n">
        <v>0.0586606154073098</v>
      </c>
    </row>
    <row r="303" customFormat="false" ht="12.8" hidden="false" customHeight="false" outlineLevel="0" collapsed="false">
      <c r="A303" s="0" t="n">
        <v>301</v>
      </c>
      <c r="B303" s="0" t="n">
        <v>0.0516123318782771</v>
      </c>
    </row>
    <row r="304" customFormat="false" ht="12.8" hidden="false" customHeight="false" outlineLevel="0" collapsed="false">
      <c r="A304" s="0" t="n">
        <v>302</v>
      </c>
      <c r="B304" s="0" t="n">
        <v>0.0543808385799487</v>
      </c>
    </row>
    <row r="305" customFormat="false" ht="12.8" hidden="false" customHeight="false" outlineLevel="0" collapsed="false">
      <c r="A305" s="0" t="n">
        <v>303</v>
      </c>
      <c r="B305" s="0" t="n">
        <v>0.0528464203333707</v>
      </c>
    </row>
    <row r="306" customFormat="false" ht="12.8" hidden="false" customHeight="false" outlineLevel="0" collapsed="false">
      <c r="A306" s="0" t="n">
        <v>304</v>
      </c>
      <c r="B306" s="0" t="n">
        <v>0.0559497780717427</v>
      </c>
    </row>
    <row r="307" customFormat="false" ht="12.8" hidden="false" customHeight="false" outlineLevel="0" collapsed="false">
      <c r="A307" s="0" t="n">
        <v>305</v>
      </c>
      <c r="B307" s="0" t="n">
        <v>0.0532250074770301</v>
      </c>
    </row>
    <row r="308" customFormat="false" ht="12.8" hidden="false" customHeight="false" outlineLevel="0" collapsed="false">
      <c r="A308" s="0" t="n">
        <v>306</v>
      </c>
      <c r="B308" s="0" t="n">
        <v>0.0513205086310068</v>
      </c>
    </row>
    <row r="309" customFormat="false" ht="12.8" hidden="false" customHeight="false" outlineLevel="0" collapsed="false">
      <c r="A309" s="0" t="n">
        <v>307</v>
      </c>
      <c r="B309" s="0" t="n">
        <v>0.0582078461981334</v>
      </c>
    </row>
    <row r="310" customFormat="false" ht="12.8" hidden="false" customHeight="false" outlineLevel="0" collapsed="false">
      <c r="A310" s="0" t="n">
        <v>308</v>
      </c>
      <c r="B310" s="0" t="n">
        <v>0.0536604382436284</v>
      </c>
    </row>
    <row r="311" customFormat="false" ht="12.8" hidden="false" customHeight="false" outlineLevel="0" collapsed="false">
      <c r="A311" s="0" t="n">
        <v>309</v>
      </c>
      <c r="B311" s="0" t="n">
        <v>0.0525272485277206</v>
      </c>
    </row>
    <row r="312" customFormat="false" ht="12.8" hidden="false" customHeight="false" outlineLevel="0" collapsed="false">
      <c r="A312" s="0" t="n">
        <v>310</v>
      </c>
      <c r="B312" s="0" t="n">
        <v>0.0520323606104426</v>
      </c>
    </row>
    <row r="313" customFormat="false" ht="12.8" hidden="false" customHeight="false" outlineLevel="0" collapsed="false">
      <c r="A313" s="0" t="n">
        <v>311</v>
      </c>
      <c r="B313" s="0" t="n">
        <v>0.0558767893577749</v>
      </c>
    </row>
    <row r="314" customFormat="false" ht="12.8" hidden="false" customHeight="false" outlineLevel="0" collapsed="false">
      <c r="A314" s="0" t="n">
        <v>312</v>
      </c>
      <c r="B314" s="0" t="n">
        <v>0.0589879237941085</v>
      </c>
    </row>
    <row r="315" customFormat="false" ht="12.8" hidden="false" customHeight="false" outlineLevel="0" collapsed="false">
      <c r="A315" s="0" t="n">
        <v>313</v>
      </c>
      <c r="B315" s="0" t="n">
        <v>0.0588030172322895</v>
      </c>
    </row>
    <row r="316" customFormat="false" ht="12.8" hidden="false" customHeight="false" outlineLevel="0" collapsed="false">
      <c r="A316" s="0" t="n">
        <v>314</v>
      </c>
      <c r="B316" s="0" t="n">
        <v>0.0541510342661753</v>
      </c>
    </row>
    <row r="317" customFormat="false" ht="12.8" hidden="false" customHeight="false" outlineLevel="0" collapsed="false">
      <c r="A317" s="0" t="n">
        <v>315</v>
      </c>
      <c r="B317" s="0" t="n">
        <v>0.0577910913261078</v>
      </c>
    </row>
    <row r="318" customFormat="false" ht="12.8" hidden="false" customHeight="false" outlineLevel="0" collapsed="false">
      <c r="A318" s="0" t="n">
        <v>316</v>
      </c>
      <c r="B318" s="0" t="n">
        <v>0.0594274913028605</v>
      </c>
    </row>
    <row r="319" customFormat="false" ht="12.8" hidden="false" customHeight="false" outlineLevel="0" collapsed="false">
      <c r="A319" s="0" t="n">
        <v>317</v>
      </c>
      <c r="B319" s="0" t="n">
        <v>0.058945617590452</v>
      </c>
    </row>
    <row r="320" customFormat="false" ht="12.8" hidden="false" customHeight="false" outlineLevel="0" collapsed="false">
      <c r="A320" s="0" t="n">
        <v>318</v>
      </c>
      <c r="B320" s="0" t="n">
        <v>0.0554880875608473</v>
      </c>
    </row>
    <row r="321" customFormat="false" ht="12.8" hidden="false" customHeight="false" outlineLevel="0" collapsed="false">
      <c r="A321" s="0" t="n">
        <v>319</v>
      </c>
      <c r="B321" s="0" t="n">
        <v>0.0541588283221267</v>
      </c>
    </row>
    <row r="322" customFormat="false" ht="12.8" hidden="false" customHeight="false" outlineLevel="0" collapsed="false">
      <c r="A322" s="0" t="n">
        <v>320</v>
      </c>
      <c r="B322" s="0" t="n">
        <v>0.0526015429388508</v>
      </c>
    </row>
    <row r="323" customFormat="false" ht="12.8" hidden="false" customHeight="false" outlineLevel="0" collapsed="false">
      <c r="A323" s="0" t="n">
        <v>321</v>
      </c>
      <c r="B323" s="0" t="n">
        <v>0.0548674186099662</v>
      </c>
    </row>
    <row r="324" customFormat="false" ht="12.8" hidden="false" customHeight="false" outlineLevel="0" collapsed="false">
      <c r="A324" s="0" t="n">
        <v>322</v>
      </c>
      <c r="B324" s="0" t="n">
        <v>0.0557884447968771</v>
      </c>
    </row>
    <row r="325" customFormat="false" ht="12.8" hidden="false" customHeight="false" outlineLevel="0" collapsed="false">
      <c r="A325" s="0" t="n">
        <v>323</v>
      </c>
      <c r="B325" s="0" t="n">
        <v>0.0578763205653602</v>
      </c>
    </row>
    <row r="326" customFormat="false" ht="12.8" hidden="false" customHeight="false" outlineLevel="0" collapsed="false">
      <c r="A326" s="0" t="n">
        <v>324</v>
      </c>
      <c r="B326" s="0" t="n">
        <v>0.0572192051256892</v>
      </c>
    </row>
    <row r="327" customFormat="false" ht="12.8" hidden="false" customHeight="false" outlineLevel="0" collapsed="false">
      <c r="A327" s="0" t="n">
        <v>325</v>
      </c>
      <c r="B327" s="0" t="n">
        <v>0.054485481344894</v>
      </c>
    </row>
    <row r="328" customFormat="false" ht="12.8" hidden="false" customHeight="false" outlineLevel="0" collapsed="false">
      <c r="A328" s="0" t="n">
        <v>326</v>
      </c>
      <c r="B328" s="0" t="n">
        <v>0.0569561200706982</v>
      </c>
    </row>
    <row r="329" customFormat="false" ht="12.8" hidden="false" customHeight="false" outlineLevel="0" collapsed="false">
      <c r="A329" s="0" t="n">
        <v>327</v>
      </c>
      <c r="B329" s="0" t="n">
        <v>0.053424957240664</v>
      </c>
    </row>
    <row r="330" customFormat="false" ht="12.8" hidden="false" customHeight="false" outlineLevel="0" collapsed="false">
      <c r="A330" s="0" t="n">
        <v>328</v>
      </c>
      <c r="B330" s="0" t="n">
        <v>0.0597615011714621</v>
      </c>
    </row>
    <row r="331" customFormat="false" ht="12.8" hidden="false" customHeight="false" outlineLevel="0" collapsed="false">
      <c r="A331" s="0" t="n">
        <v>329</v>
      </c>
      <c r="B331" s="0" t="n">
        <v>0.0556247039754007</v>
      </c>
    </row>
    <row r="332" customFormat="false" ht="12.8" hidden="false" customHeight="false" outlineLevel="0" collapsed="false">
      <c r="A332" s="0" t="n">
        <v>330</v>
      </c>
      <c r="B332" s="0" t="n">
        <v>0.0528318482206485</v>
      </c>
    </row>
    <row r="333" customFormat="false" ht="12.8" hidden="false" customHeight="false" outlineLevel="0" collapsed="false">
      <c r="A333" s="0" t="n">
        <v>331</v>
      </c>
      <c r="B333" s="0" t="n">
        <v>0.0558861224448356</v>
      </c>
    </row>
    <row r="334" customFormat="false" ht="12.8" hidden="false" customHeight="false" outlineLevel="0" collapsed="false">
      <c r="A334" s="0" t="n">
        <v>332</v>
      </c>
      <c r="B334" s="0" t="n">
        <v>0.0511553963917179</v>
      </c>
    </row>
    <row r="335" customFormat="false" ht="12.8" hidden="false" customHeight="false" outlineLevel="0" collapsed="false">
      <c r="A335" s="0" t="n">
        <v>333</v>
      </c>
      <c r="B335" s="0" t="n">
        <v>0.0531882385949723</v>
      </c>
    </row>
    <row r="336" customFormat="false" ht="12.8" hidden="false" customHeight="false" outlineLevel="0" collapsed="false">
      <c r="A336" s="0" t="n">
        <v>334</v>
      </c>
      <c r="B336" s="0" t="n">
        <v>0.0537816344619375</v>
      </c>
    </row>
    <row r="337" customFormat="false" ht="12.8" hidden="false" customHeight="false" outlineLevel="0" collapsed="false">
      <c r="A337" s="0" t="n">
        <v>335</v>
      </c>
      <c r="B337" s="0" t="n">
        <v>0.0590785826571281</v>
      </c>
    </row>
    <row r="338" customFormat="false" ht="12.8" hidden="false" customHeight="false" outlineLevel="0" collapsed="false">
      <c r="A338" s="0" t="n">
        <v>336</v>
      </c>
      <c r="B338" s="0" t="n">
        <v>0.0547761529857527</v>
      </c>
    </row>
    <row r="339" customFormat="false" ht="12.8" hidden="false" customHeight="false" outlineLevel="0" collapsed="false">
      <c r="A339" s="0" t="n">
        <v>337</v>
      </c>
      <c r="B339" s="0" t="n">
        <v>0.0560137198370894</v>
      </c>
    </row>
    <row r="340" customFormat="false" ht="12.8" hidden="false" customHeight="false" outlineLevel="0" collapsed="false">
      <c r="A340" s="0" t="n">
        <v>338</v>
      </c>
      <c r="B340" s="0" t="n">
        <v>0.0560978712126034</v>
      </c>
    </row>
    <row r="341" customFormat="false" ht="12.8" hidden="false" customHeight="false" outlineLevel="0" collapsed="false">
      <c r="A341" s="0" t="n">
        <v>339</v>
      </c>
      <c r="B341" s="0" t="n">
        <v>0.0500908062833679</v>
      </c>
    </row>
    <row r="342" customFormat="false" ht="12.8" hidden="false" customHeight="false" outlineLevel="0" collapsed="false">
      <c r="A342" s="0" t="n">
        <v>340</v>
      </c>
      <c r="B342" s="0" t="n">
        <v>0.0569039907235912</v>
      </c>
    </row>
    <row r="343" customFormat="false" ht="12.8" hidden="false" customHeight="false" outlineLevel="0" collapsed="false">
      <c r="A343" s="0" t="n">
        <v>341</v>
      </c>
      <c r="B343" s="0" t="n">
        <v>0.050825526575562</v>
      </c>
    </row>
    <row r="344" customFormat="false" ht="12.8" hidden="false" customHeight="false" outlineLevel="0" collapsed="false">
      <c r="A344" s="0" t="n">
        <v>342</v>
      </c>
      <c r="B344" s="0" t="n">
        <v>0.054410418927957</v>
      </c>
    </row>
    <row r="345" customFormat="false" ht="12.8" hidden="false" customHeight="false" outlineLevel="0" collapsed="false">
      <c r="A345" s="0" t="n">
        <v>343</v>
      </c>
      <c r="B345" s="0" t="n">
        <v>0.0546532822561944</v>
      </c>
    </row>
    <row r="346" customFormat="false" ht="12.8" hidden="false" customHeight="false" outlineLevel="0" collapsed="false">
      <c r="A346" s="0" t="n">
        <v>344</v>
      </c>
      <c r="B346" s="0" t="n">
        <v>0.0504773745997084</v>
      </c>
    </row>
    <row r="347" customFormat="false" ht="12.8" hidden="false" customHeight="false" outlineLevel="0" collapsed="false">
      <c r="A347" s="0" t="n">
        <v>345</v>
      </c>
      <c r="B347" s="0" t="n">
        <v>0.0539690247090744</v>
      </c>
    </row>
    <row r="348" customFormat="false" ht="12.8" hidden="false" customHeight="false" outlineLevel="0" collapsed="false">
      <c r="A348" s="0" t="n">
        <v>346</v>
      </c>
      <c r="B348" s="0" t="n">
        <v>0.0581704761767911</v>
      </c>
    </row>
    <row r="349" customFormat="false" ht="12.8" hidden="false" customHeight="false" outlineLevel="0" collapsed="false">
      <c r="A349" s="0" t="n">
        <v>347</v>
      </c>
      <c r="B349" s="0" t="n">
        <v>0.0570443667649429</v>
      </c>
    </row>
    <row r="350" customFormat="false" ht="12.8" hidden="false" customHeight="false" outlineLevel="0" collapsed="false">
      <c r="A350" s="0" t="n">
        <v>348</v>
      </c>
      <c r="B350" s="0" t="n">
        <v>0.057375846294301</v>
      </c>
    </row>
    <row r="351" customFormat="false" ht="12.8" hidden="false" customHeight="false" outlineLevel="0" collapsed="false">
      <c r="A351" s="0" t="n">
        <v>349</v>
      </c>
      <c r="B351" s="0" t="n">
        <v>0.0578879101419294</v>
      </c>
    </row>
    <row r="352" customFormat="false" ht="12.8" hidden="false" customHeight="false" outlineLevel="0" collapsed="false">
      <c r="A352" s="0" t="n">
        <v>350</v>
      </c>
      <c r="B352" s="0" t="n">
        <v>0.0594277943474815</v>
      </c>
    </row>
    <row r="353" customFormat="false" ht="12.8" hidden="false" customHeight="false" outlineLevel="0" collapsed="false">
      <c r="A353" s="0" t="n">
        <v>351</v>
      </c>
      <c r="B353" s="0" t="n">
        <v>0.0541331729115573</v>
      </c>
    </row>
    <row r="354" customFormat="false" ht="12.8" hidden="false" customHeight="false" outlineLevel="0" collapsed="false">
      <c r="A354" s="0" t="n">
        <v>352</v>
      </c>
      <c r="B354" s="0" t="n">
        <v>0.0569773102426402</v>
      </c>
    </row>
    <row r="355" customFormat="false" ht="12.8" hidden="false" customHeight="false" outlineLevel="0" collapsed="false">
      <c r="A355" s="0" t="n">
        <v>353</v>
      </c>
      <c r="B355" s="0" t="n">
        <v>0.0575567010730581</v>
      </c>
    </row>
    <row r="356" customFormat="false" ht="12.8" hidden="false" customHeight="false" outlineLevel="0" collapsed="false">
      <c r="A356" s="0" t="n">
        <v>354</v>
      </c>
      <c r="B356" s="0" t="n">
        <v>0.0501029780124711</v>
      </c>
    </row>
    <row r="357" customFormat="false" ht="12.8" hidden="false" customHeight="false" outlineLevel="0" collapsed="false">
      <c r="A357" s="0" t="n">
        <v>355</v>
      </c>
      <c r="B357" s="0" t="n">
        <v>0.0570847824392415</v>
      </c>
    </row>
    <row r="358" customFormat="false" ht="12.8" hidden="false" customHeight="false" outlineLevel="0" collapsed="false">
      <c r="A358" s="0" t="n">
        <v>356</v>
      </c>
      <c r="B358" s="0" t="n">
        <v>0.0516271228389633</v>
      </c>
    </row>
    <row r="359" customFormat="false" ht="12.8" hidden="false" customHeight="false" outlineLevel="0" collapsed="false">
      <c r="A359" s="0" t="n">
        <v>357</v>
      </c>
      <c r="B359" s="0" t="n">
        <v>0.0572521801254213</v>
      </c>
    </row>
    <row r="360" customFormat="false" ht="12.8" hidden="false" customHeight="false" outlineLevel="0" collapsed="false">
      <c r="A360" s="0" t="n">
        <v>358</v>
      </c>
      <c r="B360" s="0" t="n">
        <v>0.0527354471460315</v>
      </c>
    </row>
    <row r="361" customFormat="false" ht="12.8" hidden="false" customHeight="false" outlineLevel="0" collapsed="false">
      <c r="A361" s="0" t="n">
        <v>359</v>
      </c>
      <c r="B361" s="0" t="n">
        <v>0.051632016250428</v>
      </c>
    </row>
    <row r="362" customFormat="false" ht="12.8" hidden="false" customHeight="false" outlineLevel="0" collapsed="false">
      <c r="A362" s="0" t="n">
        <v>360</v>
      </c>
      <c r="B362" s="0" t="n">
        <v>0.0573593674368331</v>
      </c>
    </row>
    <row r="363" customFormat="false" ht="12.8" hidden="false" customHeight="false" outlineLevel="0" collapsed="false">
      <c r="A363" s="0" t="n">
        <v>361</v>
      </c>
      <c r="B363" s="0" t="n">
        <v>0.0524431888510714</v>
      </c>
    </row>
    <row r="364" customFormat="false" ht="12.8" hidden="false" customHeight="false" outlineLevel="0" collapsed="false">
      <c r="A364" s="0" t="n">
        <v>362</v>
      </c>
      <c r="B364" s="0" t="n">
        <v>0.0549158958242797</v>
      </c>
    </row>
    <row r="365" customFormat="false" ht="12.8" hidden="false" customHeight="false" outlineLevel="0" collapsed="false">
      <c r="A365" s="0" t="n">
        <v>363</v>
      </c>
      <c r="B365" s="0" t="n">
        <v>0.0579556692820524</v>
      </c>
    </row>
    <row r="366" customFormat="false" ht="12.8" hidden="false" customHeight="false" outlineLevel="0" collapsed="false">
      <c r="A366" s="0" t="n">
        <v>364</v>
      </c>
      <c r="B366" s="0" t="n">
        <v>0.0559949768764722</v>
      </c>
    </row>
    <row r="367" customFormat="false" ht="12.8" hidden="false" customHeight="false" outlineLevel="0" collapsed="false">
      <c r="A367" s="0" t="n">
        <v>365</v>
      </c>
      <c r="B367" s="0" t="n">
        <v>0.0552063158585922</v>
      </c>
    </row>
    <row r="368" customFormat="false" ht="12.8" hidden="false" customHeight="false" outlineLevel="0" collapsed="false">
      <c r="A368" s="0" t="n">
        <v>366</v>
      </c>
      <c r="B368" s="0" t="n">
        <v>0.0592028171801498</v>
      </c>
    </row>
    <row r="369" customFormat="false" ht="12.8" hidden="false" customHeight="false" outlineLevel="0" collapsed="false">
      <c r="A369" s="0" t="n">
        <v>367</v>
      </c>
      <c r="B369" s="0" t="n">
        <v>0.0526072472647549</v>
      </c>
    </row>
    <row r="370" customFormat="false" ht="12.8" hidden="false" customHeight="false" outlineLevel="0" collapsed="false">
      <c r="A370" s="0" t="n">
        <v>368</v>
      </c>
      <c r="B370" s="0" t="n">
        <v>0.0577720055607717</v>
      </c>
    </row>
    <row r="371" customFormat="false" ht="12.8" hidden="false" customHeight="false" outlineLevel="0" collapsed="false">
      <c r="A371" s="0" t="n">
        <v>369</v>
      </c>
      <c r="B371" s="0" t="n">
        <v>0.0519247178278444</v>
      </c>
    </row>
    <row r="372" customFormat="false" ht="12.8" hidden="false" customHeight="false" outlineLevel="0" collapsed="false">
      <c r="A372" s="0" t="n">
        <v>370</v>
      </c>
      <c r="B372" s="0" t="n">
        <v>0.059791271961268</v>
      </c>
    </row>
    <row r="373" customFormat="false" ht="12.8" hidden="false" customHeight="false" outlineLevel="0" collapsed="false">
      <c r="A373" s="0" t="n">
        <v>371</v>
      </c>
      <c r="B373" s="0" t="n">
        <v>0.0532003171331708</v>
      </c>
    </row>
    <row r="374" customFormat="false" ht="12.8" hidden="false" customHeight="false" outlineLevel="0" collapsed="false">
      <c r="A374" s="0" t="n">
        <v>372</v>
      </c>
      <c r="B374" s="0" t="n">
        <v>0.0569199515727856</v>
      </c>
    </row>
    <row r="375" customFormat="false" ht="12.8" hidden="false" customHeight="false" outlineLevel="0" collapsed="false">
      <c r="A375" s="0" t="n">
        <v>373</v>
      </c>
      <c r="B375" s="0" t="n">
        <v>0.0526112545924239</v>
      </c>
    </row>
    <row r="376" customFormat="false" ht="12.8" hidden="false" customHeight="false" outlineLevel="0" collapsed="false">
      <c r="A376" s="0" t="n">
        <v>374</v>
      </c>
      <c r="B376" s="0" t="n">
        <v>0.0546728794452183</v>
      </c>
    </row>
    <row r="377" customFormat="false" ht="12.8" hidden="false" customHeight="false" outlineLevel="0" collapsed="false">
      <c r="A377" s="0" t="n">
        <v>375</v>
      </c>
      <c r="B377" s="0" t="n">
        <v>0.0593122402697636</v>
      </c>
    </row>
    <row r="378" customFormat="false" ht="12.8" hidden="false" customHeight="false" outlineLevel="0" collapsed="false">
      <c r="A378" s="0" t="n">
        <v>376</v>
      </c>
      <c r="B378" s="0" t="n">
        <v>0.0575081845132646</v>
      </c>
    </row>
    <row r="379" customFormat="false" ht="12.8" hidden="false" customHeight="false" outlineLevel="0" collapsed="false">
      <c r="A379" s="0" t="n">
        <v>377</v>
      </c>
      <c r="B379" s="0" t="n">
        <v>0.0572819801191631</v>
      </c>
    </row>
    <row r="380" customFormat="false" ht="12.8" hidden="false" customHeight="false" outlineLevel="0" collapsed="false">
      <c r="A380" s="0" t="n">
        <v>378</v>
      </c>
      <c r="B380" s="0" t="n">
        <v>0.0532953454722847</v>
      </c>
    </row>
    <row r="381" customFormat="false" ht="12.8" hidden="false" customHeight="false" outlineLevel="0" collapsed="false">
      <c r="A381" s="0" t="n">
        <v>379</v>
      </c>
      <c r="B381" s="0" t="n">
        <v>0.0589241276255904</v>
      </c>
    </row>
    <row r="382" customFormat="false" ht="12.8" hidden="false" customHeight="false" outlineLevel="0" collapsed="false">
      <c r="A382" s="0" t="n">
        <v>380</v>
      </c>
      <c r="B382" s="0" t="n">
        <v>0.0545080330819393</v>
      </c>
    </row>
    <row r="383" customFormat="false" ht="12.8" hidden="false" customHeight="false" outlineLevel="0" collapsed="false">
      <c r="A383" s="0" t="n">
        <v>381</v>
      </c>
      <c r="B383" s="0" t="n">
        <v>0.0571915130289204</v>
      </c>
    </row>
    <row r="384" customFormat="false" ht="12.8" hidden="false" customHeight="false" outlineLevel="0" collapsed="false">
      <c r="A384" s="0" t="n">
        <v>382</v>
      </c>
      <c r="B384" s="0" t="n">
        <v>0.0548522931726935</v>
      </c>
    </row>
    <row r="385" customFormat="false" ht="12.8" hidden="false" customHeight="false" outlineLevel="0" collapsed="false">
      <c r="A385" s="0" t="n">
        <v>383</v>
      </c>
      <c r="B385" s="0" t="n">
        <v>0.0584144191260712</v>
      </c>
    </row>
    <row r="386" customFormat="false" ht="12.8" hidden="false" customHeight="false" outlineLevel="0" collapsed="false">
      <c r="A386" s="0" t="n">
        <v>384</v>
      </c>
      <c r="B386" s="0" t="n">
        <v>0.0507765639037261</v>
      </c>
    </row>
    <row r="387" customFormat="false" ht="12.8" hidden="false" customHeight="false" outlineLevel="0" collapsed="false">
      <c r="A387" s="0" t="n">
        <v>385</v>
      </c>
      <c r="B387" s="0" t="n">
        <v>0.0595207808829637</v>
      </c>
    </row>
    <row r="388" customFormat="false" ht="12.8" hidden="false" customHeight="false" outlineLevel="0" collapsed="false">
      <c r="A388" s="0" t="n">
        <v>386</v>
      </c>
      <c r="B388" s="0" t="n">
        <v>0.0525062665049832</v>
      </c>
    </row>
    <row r="389" customFormat="false" ht="12.8" hidden="false" customHeight="false" outlineLevel="0" collapsed="false">
      <c r="A389" s="0" t="n">
        <v>387</v>
      </c>
      <c r="B389" s="0" t="n">
        <v>0.0535271256448823</v>
      </c>
    </row>
    <row r="390" customFormat="false" ht="12.8" hidden="false" customHeight="false" outlineLevel="0" collapsed="false">
      <c r="A390" s="0" t="n">
        <v>388</v>
      </c>
      <c r="B390" s="0" t="n">
        <v>0.0505248364807461</v>
      </c>
    </row>
    <row r="391" customFormat="false" ht="12.8" hidden="false" customHeight="false" outlineLevel="0" collapsed="false">
      <c r="A391" s="0" t="n">
        <v>389</v>
      </c>
      <c r="B391" s="0" t="n">
        <v>0.0526776594940174</v>
      </c>
    </row>
    <row r="392" customFormat="false" ht="12.8" hidden="false" customHeight="false" outlineLevel="0" collapsed="false">
      <c r="A392" s="0" t="n">
        <v>390</v>
      </c>
      <c r="B392" s="0" t="n">
        <v>0.0519107723668771</v>
      </c>
    </row>
    <row r="393" customFormat="false" ht="12.8" hidden="false" customHeight="false" outlineLevel="0" collapsed="false">
      <c r="A393" s="0" t="n">
        <v>391</v>
      </c>
      <c r="B393" s="0" t="n">
        <v>0.0517006707972841</v>
      </c>
    </row>
    <row r="394" customFormat="false" ht="12.8" hidden="false" customHeight="false" outlineLevel="0" collapsed="false">
      <c r="A394" s="0" t="n">
        <v>392</v>
      </c>
      <c r="B394" s="0" t="n">
        <v>0.0543691402315873</v>
      </c>
    </row>
    <row r="395" customFormat="false" ht="12.8" hidden="false" customHeight="false" outlineLevel="0" collapsed="false">
      <c r="A395" s="0" t="n">
        <v>393</v>
      </c>
      <c r="B395" s="0" t="n">
        <v>0.052836008618313</v>
      </c>
    </row>
    <row r="396" customFormat="false" ht="12.8" hidden="false" customHeight="false" outlineLevel="0" collapsed="false">
      <c r="A396" s="0" t="n">
        <v>394</v>
      </c>
      <c r="B396" s="0" t="n">
        <v>0.0515948791299683</v>
      </c>
    </row>
    <row r="397" customFormat="false" ht="12.8" hidden="false" customHeight="false" outlineLevel="0" collapsed="false">
      <c r="A397" s="0" t="n">
        <v>395</v>
      </c>
      <c r="B397" s="0" t="n">
        <v>0.0518276412349044</v>
      </c>
    </row>
    <row r="398" customFormat="false" ht="12.8" hidden="false" customHeight="false" outlineLevel="0" collapsed="false">
      <c r="A398" s="0" t="n">
        <v>396</v>
      </c>
      <c r="B398" s="0" t="n">
        <v>0.050916830087567</v>
      </c>
    </row>
    <row r="399" customFormat="false" ht="12.8" hidden="false" customHeight="false" outlineLevel="0" collapsed="false">
      <c r="A399" s="0" t="n">
        <v>397</v>
      </c>
      <c r="B399" s="0" t="n">
        <v>0.0533530831103078</v>
      </c>
    </row>
    <row r="400" customFormat="false" ht="12.8" hidden="false" customHeight="false" outlineLevel="0" collapsed="false">
      <c r="A400" s="0" t="n">
        <v>398</v>
      </c>
      <c r="B400" s="0" t="n">
        <v>0.0556793269007832</v>
      </c>
    </row>
    <row r="401" customFormat="false" ht="12.8" hidden="false" customHeight="false" outlineLevel="0" collapsed="false">
      <c r="A401" s="0" t="n">
        <v>399</v>
      </c>
      <c r="B401" s="0" t="n">
        <v>0.0550732189356155</v>
      </c>
    </row>
    <row r="402" customFormat="false" ht="12.8" hidden="false" customHeight="false" outlineLevel="0" collapsed="false">
      <c r="A402" s="0" t="n">
        <v>400</v>
      </c>
      <c r="B402" s="0" t="n">
        <v>0.0525024313208113</v>
      </c>
    </row>
    <row r="403" customFormat="false" ht="12.8" hidden="false" customHeight="false" outlineLevel="0" collapsed="false">
      <c r="A403" s="0" t="n">
        <v>401</v>
      </c>
      <c r="B403" s="0" t="n">
        <v>0.051958208085194</v>
      </c>
    </row>
    <row r="404" customFormat="false" ht="12.8" hidden="false" customHeight="false" outlineLevel="0" collapsed="false">
      <c r="A404" s="0" t="n">
        <v>402</v>
      </c>
      <c r="B404" s="0" t="n">
        <v>0.0531964143846826</v>
      </c>
    </row>
    <row r="405" customFormat="false" ht="12.8" hidden="false" customHeight="false" outlineLevel="0" collapsed="false">
      <c r="A405" s="0" t="n">
        <v>403</v>
      </c>
      <c r="B405" s="0" t="n">
        <v>0.0519497351810477</v>
      </c>
    </row>
    <row r="406" customFormat="false" ht="12.8" hidden="false" customHeight="false" outlineLevel="0" collapsed="false">
      <c r="A406" s="0" t="n">
        <v>404</v>
      </c>
      <c r="B406" s="0" t="n">
        <v>0.0544135136963044</v>
      </c>
    </row>
    <row r="407" customFormat="false" ht="12.8" hidden="false" customHeight="false" outlineLevel="0" collapsed="false">
      <c r="A407" s="0" t="n">
        <v>405</v>
      </c>
      <c r="B407" s="0" t="n">
        <v>0.0527151029048302</v>
      </c>
    </row>
    <row r="408" customFormat="false" ht="12.8" hidden="false" customHeight="false" outlineLevel="0" collapsed="false">
      <c r="A408" s="0" t="n">
        <v>406</v>
      </c>
      <c r="B408" s="0" t="n">
        <v>0.0574591241781174</v>
      </c>
    </row>
    <row r="409" customFormat="false" ht="12.8" hidden="false" customHeight="false" outlineLevel="0" collapsed="false">
      <c r="A409" s="0" t="n">
        <v>407</v>
      </c>
      <c r="B409" s="0" t="n">
        <v>0.0591478072508842</v>
      </c>
    </row>
    <row r="410" customFormat="false" ht="12.8" hidden="false" customHeight="false" outlineLevel="0" collapsed="false">
      <c r="A410" s="0" t="n">
        <v>408</v>
      </c>
      <c r="B410" s="0" t="n">
        <v>0.0516242198865556</v>
      </c>
    </row>
    <row r="411" customFormat="false" ht="12.8" hidden="false" customHeight="false" outlineLevel="0" collapsed="false">
      <c r="A411" s="0" t="n">
        <v>409</v>
      </c>
      <c r="B411" s="0" t="n">
        <v>0.0573691704289717</v>
      </c>
    </row>
    <row r="412" customFormat="false" ht="12.8" hidden="false" customHeight="false" outlineLevel="0" collapsed="false">
      <c r="A412" s="0" t="n">
        <v>410</v>
      </c>
      <c r="B412" s="0" t="n">
        <v>0.0539505523847993</v>
      </c>
    </row>
    <row r="413" customFormat="false" ht="12.8" hidden="false" customHeight="false" outlineLevel="0" collapsed="false">
      <c r="A413" s="0" t="n">
        <v>411</v>
      </c>
      <c r="B413" s="0" t="n">
        <v>0.0529347867434517</v>
      </c>
    </row>
    <row r="414" customFormat="false" ht="12.8" hidden="false" customHeight="false" outlineLevel="0" collapsed="false">
      <c r="A414" s="0" t="n">
        <v>412</v>
      </c>
      <c r="B414" s="0" t="n">
        <v>0.0502540618989177</v>
      </c>
    </row>
    <row r="415" customFormat="false" ht="12.8" hidden="false" customHeight="false" outlineLevel="0" collapsed="false">
      <c r="A415" s="0" t="n">
        <v>413</v>
      </c>
      <c r="B415" s="0" t="n">
        <v>0.0591131874820433</v>
      </c>
    </row>
    <row r="416" customFormat="false" ht="12.8" hidden="false" customHeight="false" outlineLevel="0" collapsed="false">
      <c r="A416" s="0" t="n">
        <v>414</v>
      </c>
      <c r="B416" s="0" t="n">
        <v>0.0580468072553626</v>
      </c>
    </row>
    <row r="417" customFormat="false" ht="12.8" hidden="false" customHeight="false" outlineLevel="0" collapsed="false">
      <c r="A417" s="0" t="n">
        <v>415</v>
      </c>
      <c r="B417" s="0" t="n">
        <v>0.0534417013056155</v>
      </c>
    </row>
    <row r="418" customFormat="false" ht="12.8" hidden="false" customHeight="false" outlineLevel="0" collapsed="false">
      <c r="A418" s="0" t="n">
        <v>416</v>
      </c>
      <c r="B418" s="0" t="n">
        <v>0.0558366644775396</v>
      </c>
    </row>
    <row r="419" customFormat="false" ht="12.8" hidden="false" customHeight="false" outlineLevel="0" collapsed="false">
      <c r="A419" s="0" t="n">
        <v>417</v>
      </c>
      <c r="B419" s="0" t="n">
        <v>0.0575771237612956</v>
      </c>
    </row>
    <row r="420" customFormat="false" ht="12.8" hidden="false" customHeight="false" outlineLevel="0" collapsed="false">
      <c r="A420" s="0" t="n">
        <v>418</v>
      </c>
      <c r="B420" s="0" t="n">
        <v>0.0544040929186917</v>
      </c>
    </row>
    <row r="421" customFormat="false" ht="12.8" hidden="false" customHeight="false" outlineLevel="0" collapsed="false">
      <c r="A421" s="0" t="n">
        <v>419</v>
      </c>
      <c r="B421" s="0" t="n">
        <v>0.0587967706316688</v>
      </c>
    </row>
    <row r="422" customFormat="false" ht="12.8" hidden="false" customHeight="false" outlineLevel="0" collapsed="false">
      <c r="A422" s="0" t="n">
        <v>420</v>
      </c>
      <c r="B422" s="0" t="n">
        <v>0.0567173698828285</v>
      </c>
    </row>
    <row r="423" customFormat="false" ht="12.8" hidden="false" customHeight="false" outlineLevel="0" collapsed="false">
      <c r="A423" s="0" t="n">
        <v>421</v>
      </c>
      <c r="B423" s="0" t="n">
        <v>0.0580967641343989</v>
      </c>
    </row>
    <row r="424" customFormat="false" ht="12.8" hidden="false" customHeight="false" outlineLevel="0" collapsed="false">
      <c r="A424" s="0" t="n">
        <v>422</v>
      </c>
      <c r="B424" s="0" t="n">
        <v>0.0513141528831799</v>
      </c>
    </row>
    <row r="425" customFormat="false" ht="12.8" hidden="false" customHeight="false" outlineLevel="0" collapsed="false">
      <c r="A425" s="0" t="n">
        <v>423</v>
      </c>
      <c r="B425" s="0" t="n">
        <v>0.0532255504512715</v>
      </c>
    </row>
    <row r="426" customFormat="false" ht="12.8" hidden="false" customHeight="false" outlineLevel="0" collapsed="false">
      <c r="A426" s="0" t="n">
        <v>424</v>
      </c>
      <c r="B426" s="0" t="n">
        <v>0.0566913037852225</v>
      </c>
    </row>
    <row r="427" customFormat="false" ht="12.8" hidden="false" customHeight="false" outlineLevel="0" collapsed="false">
      <c r="A427" s="0" t="n">
        <v>425</v>
      </c>
      <c r="B427" s="0" t="n">
        <v>0.0514896819542864</v>
      </c>
    </row>
    <row r="428" customFormat="false" ht="12.8" hidden="false" customHeight="false" outlineLevel="0" collapsed="false">
      <c r="A428" s="0" t="n">
        <v>426</v>
      </c>
      <c r="B428" s="0" t="n">
        <v>0.055972831802526</v>
      </c>
    </row>
    <row r="429" customFormat="false" ht="12.8" hidden="false" customHeight="false" outlineLevel="0" collapsed="false">
      <c r="A429" s="0" t="n">
        <v>427</v>
      </c>
      <c r="B429" s="0" t="n">
        <v>0.0533931853374776</v>
      </c>
    </row>
    <row r="430" customFormat="false" ht="12.8" hidden="false" customHeight="false" outlineLevel="0" collapsed="false">
      <c r="A430" s="0" t="n">
        <v>428</v>
      </c>
      <c r="B430" s="0" t="n">
        <v>0.0524139009123269</v>
      </c>
    </row>
    <row r="431" customFormat="false" ht="12.8" hidden="false" customHeight="false" outlineLevel="0" collapsed="false">
      <c r="A431" s="0" t="n">
        <v>429</v>
      </c>
      <c r="B431" s="0" t="n">
        <v>0.0553314581861641</v>
      </c>
    </row>
    <row r="432" customFormat="false" ht="12.8" hidden="false" customHeight="false" outlineLevel="0" collapsed="false">
      <c r="A432" s="0" t="n">
        <v>430</v>
      </c>
      <c r="B432" s="0" t="n">
        <v>0.0582231382317168</v>
      </c>
    </row>
    <row r="433" customFormat="false" ht="12.8" hidden="false" customHeight="false" outlineLevel="0" collapsed="false">
      <c r="A433" s="0" t="n">
        <v>431</v>
      </c>
      <c r="B433" s="0" t="n">
        <v>0.0574670049958611</v>
      </c>
    </row>
    <row r="434" customFormat="false" ht="12.8" hidden="false" customHeight="false" outlineLevel="0" collapsed="false">
      <c r="A434" s="0" t="n">
        <v>432</v>
      </c>
      <c r="B434" s="0" t="n">
        <v>0.0502642540710126</v>
      </c>
    </row>
    <row r="435" customFormat="false" ht="12.8" hidden="false" customHeight="false" outlineLevel="0" collapsed="false">
      <c r="A435" s="0" t="n">
        <v>433</v>
      </c>
      <c r="B435" s="0" t="n">
        <v>0.0514213932220108</v>
      </c>
    </row>
    <row r="436" customFormat="false" ht="12.8" hidden="false" customHeight="false" outlineLevel="0" collapsed="false">
      <c r="A436" s="0" t="n">
        <v>434</v>
      </c>
      <c r="B436" s="0" t="n">
        <v>0.058929188703518</v>
      </c>
    </row>
    <row r="437" customFormat="false" ht="12.8" hidden="false" customHeight="false" outlineLevel="0" collapsed="false">
      <c r="A437" s="0" t="n">
        <v>435</v>
      </c>
      <c r="B437" s="0" t="n">
        <v>0.0503640977923074</v>
      </c>
    </row>
    <row r="438" customFormat="false" ht="12.8" hidden="false" customHeight="false" outlineLevel="0" collapsed="false">
      <c r="A438" s="0" t="n">
        <v>436</v>
      </c>
      <c r="B438" s="0" t="n">
        <v>0.0567245578227871</v>
      </c>
    </row>
    <row r="439" customFormat="false" ht="12.8" hidden="false" customHeight="false" outlineLevel="0" collapsed="false">
      <c r="A439" s="0" t="n">
        <v>437</v>
      </c>
      <c r="B439" s="0" t="n">
        <v>0.0538752746668222</v>
      </c>
    </row>
    <row r="440" customFormat="false" ht="12.8" hidden="false" customHeight="false" outlineLevel="0" collapsed="false">
      <c r="A440" s="0" t="n">
        <v>438</v>
      </c>
      <c r="B440" s="0" t="n">
        <v>0.0560302676929573</v>
      </c>
    </row>
    <row r="441" customFormat="false" ht="12.8" hidden="false" customHeight="false" outlineLevel="0" collapsed="false">
      <c r="A441" s="0" t="n">
        <v>439</v>
      </c>
      <c r="B441" s="0" t="n">
        <v>0.0526562204300747</v>
      </c>
    </row>
    <row r="442" customFormat="false" ht="12.8" hidden="false" customHeight="false" outlineLevel="0" collapsed="false">
      <c r="A442" s="0" t="n">
        <v>440</v>
      </c>
      <c r="B442" s="0" t="n">
        <v>0.0544265134284212</v>
      </c>
    </row>
    <row r="443" customFormat="false" ht="12.8" hidden="false" customHeight="false" outlineLevel="0" collapsed="false">
      <c r="A443" s="0" t="n">
        <v>441</v>
      </c>
      <c r="B443" s="0" t="n">
        <v>0.0576848987540702</v>
      </c>
    </row>
    <row r="444" customFormat="false" ht="12.8" hidden="false" customHeight="false" outlineLevel="0" collapsed="false">
      <c r="A444" s="0" t="n">
        <v>442</v>
      </c>
      <c r="B444" s="0" t="n">
        <v>0.0553967501737621</v>
      </c>
    </row>
    <row r="445" customFormat="false" ht="12.8" hidden="false" customHeight="false" outlineLevel="0" collapsed="false">
      <c r="A445" s="0" t="n">
        <v>443</v>
      </c>
      <c r="B445" s="0" t="n">
        <v>0.0533800284379243</v>
      </c>
    </row>
    <row r="446" customFormat="false" ht="12.8" hidden="false" customHeight="false" outlineLevel="0" collapsed="false">
      <c r="A446" s="0" t="n">
        <v>444</v>
      </c>
      <c r="B446" s="0" t="n">
        <v>0.0568847230893451</v>
      </c>
    </row>
    <row r="447" customFormat="false" ht="12.8" hidden="false" customHeight="false" outlineLevel="0" collapsed="false">
      <c r="A447" s="0" t="n">
        <v>445</v>
      </c>
      <c r="B447" s="0" t="n">
        <v>0.0560082534575998</v>
      </c>
    </row>
    <row r="448" customFormat="false" ht="12.8" hidden="false" customHeight="false" outlineLevel="0" collapsed="false">
      <c r="A448" s="0" t="n">
        <v>446</v>
      </c>
      <c r="B448" s="0" t="n">
        <v>0.0531006292497722</v>
      </c>
    </row>
    <row r="449" customFormat="false" ht="12.8" hidden="false" customHeight="false" outlineLevel="0" collapsed="false">
      <c r="A449" s="0" t="n">
        <v>447</v>
      </c>
      <c r="B449" s="0" t="n">
        <v>0.0597242469602834</v>
      </c>
    </row>
    <row r="450" customFormat="false" ht="12.8" hidden="false" customHeight="false" outlineLevel="0" collapsed="false">
      <c r="A450" s="0" t="n">
        <v>448</v>
      </c>
      <c r="B450" s="0" t="n">
        <v>0.0555489696941146</v>
      </c>
    </row>
    <row r="451" customFormat="false" ht="12.8" hidden="false" customHeight="false" outlineLevel="0" collapsed="false">
      <c r="A451" s="0" t="n">
        <v>449</v>
      </c>
      <c r="B451" s="0" t="n">
        <v>0.0590083422544743</v>
      </c>
    </row>
    <row r="452" customFormat="false" ht="12.8" hidden="false" customHeight="false" outlineLevel="0" collapsed="false">
      <c r="A452" s="0" t="n">
        <v>450</v>
      </c>
      <c r="B452" s="0" t="n">
        <v>0.0557432490700345</v>
      </c>
    </row>
    <row r="453" customFormat="false" ht="12.8" hidden="false" customHeight="false" outlineLevel="0" collapsed="false">
      <c r="A453" s="0" t="n">
        <v>451</v>
      </c>
      <c r="B453" s="0" t="n">
        <v>0.0557643151190626</v>
      </c>
    </row>
    <row r="454" customFormat="false" ht="12.8" hidden="false" customHeight="false" outlineLevel="0" collapsed="false">
      <c r="A454" s="0" t="n">
        <v>452</v>
      </c>
      <c r="B454" s="0" t="n">
        <v>0.0515989898439219</v>
      </c>
    </row>
    <row r="455" customFormat="false" ht="12.8" hidden="false" customHeight="false" outlineLevel="0" collapsed="false">
      <c r="A455" s="0" t="n">
        <v>453</v>
      </c>
      <c r="B455" s="0" t="n">
        <v>0.0501316186581051</v>
      </c>
    </row>
    <row r="456" customFormat="false" ht="12.8" hidden="false" customHeight="false" outlineLevel="0" collapsed="false">
      <c r="A456" s="0" t="n">
        <v>454</v>
      </c>
      <c r="B456" s="0" t="n">
        <v>0.057952253615157</v>
      </c>
    </row>
    <row r="457" customFormat="false" ht="12.8" hidden="false" customHeight="false" outlineLevel="0" collapsed="false">
      <c r="A457" s="0" t="n">
        <v>455</v>
      </c>
      <c r="B457" s="0" t="n">
        <v>0.0571094762792618</v>
      </c>
    </row>
    <row r="458" customFormat="false" ht="12.8" hidden="false" customHeight="false" outlineLevel="0" collapsed="false">
      <c r="A458" s="0" t="n">
        <v>456</v>
      </c>
      <c r="B458" s="0" t="n">
        <v>0.0536677218137897</v>
      </c>
    </row>
    <row r="459" customFormat="false" ht="12.8" hidden="false" customHeight="false" outlineLevel="0" collapsed="false">
      <c r="A459" s="0" t="n">
        <v>457</v>
      </c>
      <c r="B459" s="0" t="n">
        <v>0.0592714183115013</v>
      </c>
    </row>
    <row r="460" customFormat="false" ht="12.8" hidden="false" customHeight="false" outlineLevel="0" collapsed="false">
      <c r="A460" s="0" t="n">
        <v>458</v>
      </c>
      <c r="B460" s="0" t="n">
        <v>0.0516614184964552</v>
      </c>
    </row>
    <row r="461" customFormat="false" ht="12.8" hidden="false" customHeight="false" outlineLevel="0" collapsed="false">
      <c r="A461" s="0" t="n">
        <v>459</v>
      </c>
      <c r="B461" s="0" t="n">
        <v>0.0548582572565232</v>
      </c>
    </row>
    <row r="462" customFormat="false" ht="12.8" hidden="false" customHeight="false" outlineLevel="0" collapsed="false">
      <c r="A462" s="0" t="n">
        <v>460</v>
      </c>
      <c r="B462" s="0" t="n">
        <v>0.0598433719970173</v>
      </c>
    </row>
    <row r="463" customFormat="false" ht="12.8" hidden="false" customHeight="false" outlineLevel="0" collapsed="false">
      <c r="A463" s="0" t="n">
        <v>461</v>
      </c>
      <c r="B463" s="0" t="n">
        <v>0.050603440192491</v>
      </c>
    </row>
    <row r="464" customFormat="false" ht="12.8" hidden="false" customHeight="false" outlineLevel="0" collapsed="false">
      <c r="A464" s="0" t="n">
        <v>462</v>
      </c>
      <c r="B464" s="0" t="n">
        <v>0.0563463988629718</v>
      </c>
    </row>
    <row r="465" customFormat="false" ht="12.8" hidden="false" customHeight="false" outlineLevel="0" collapsed="false">
      <c r="A465" s="0" t="n">
        <v>463</v>
      </c>
      <c r="B465" s="0" t="n">
        <v>0.056756577627319</v>
      </c>
    </row>
    <row r="466" customFormat="false" ht="12.8" hidden="false" customHeight="false" outlineLevel="0" collapsed="false">
      <c r="A466" s="0" t="n">
        <v>464</v>
      </c>
      <c r="B466" s="0" t="n">
        <v>0.0587128386475325</v>
      </c>
    </row>
    <row r="467" customFormat="false" ht="12.8" hidden="false" customHeight="false" outlineLevel="0" collapsed="false">
      <c r="A467" s="0" t="n">
        <v>465</v>
      </c>
      <c r="B467" s="0" t="n">
        <v>0.051346581033161</v>
      </c>
    </row>
    <row r="468" customFormat="false" ht="12.8" hidden="false" customHeight="false" outlineLevel="0" collapsed="false">
      <c r="A468" s="0" t="n">
        <v>466</v>
      </c>
      <c r="B468" s="0" t="n">
        <v>0.0592429026087086</v>
      </c>
    </row>
    <row r="469" customFormat="false" ht="12.8" hidden="false" customHeight="false" outlineLevel="0" collapsed="false">
      <c r="A469" s="0" t="n">
        <v>467</v>
      </c>
      <c r="B469" s="0" t="n">
        <v>0.0598881780741757</v>
      </c>
    </row>
    <row r="470" customFormat="false" ht="12.8" hidden="false" customHeight="false" outlineLevel="0" collapsed="false">
      <c r="A470" s="0" t="n">
        <v>468</v>
      </c>
      <c r="B470" s="0" t="n">
        <v>0.0542727042333877</v>
      </c>
    </row>
    <row r="471" customFormat="false" ht="12.8" hidden="false" customHeight="false" outlineLevel="0" collapsed="false">
      <c r="A471" s="0" t="n">
        <v>469</v>
      </c>
      <c r="B471" s="0" t="n">
        <v>0.0597798562740739</v>
      </c>
    </row>
    <row r="472" customFormat="false" ht="12.8" hidden="false" customHeight="false" outlineLevel="0" collapsed="false">
      <c r="A472" s="0" t="n">
        <v>470</v>
      </c>
      <c r="B472" s="0" t="n">
        <v>0.0536474555703944</v>
      </c>
    </row>
    <row r="473" customFormat="false" ht="12.8" hidden="false" customHeight="false" outlineLevel="0" collapsed="false">
      <c r="A473" s="0" t="n">
        <v>471</v>
      </c>
      <c r="B473" s="0" t="n">
        <v>0.051504247615297</v>
      </c>
    </row>
    <row r="474" customFormat="false" ht="12.8" hidden="false" customHeight="false" outlineLevel="0" collapsed="false">
      <c r="A474" s="0" t="n">
        <v>472</v>
      </c>
      <c r="B474" s="0" t="n">
        <v>0.0509089473444362</v>
      </c>
    </row>
    <row r="475" customFormat="false" ht="12.8" hidden="false" customHeight="false" outlineLevel="0" collapsed="false">
      <c r="A475" s="0" t="n">
        <v>473</v>
      </c>
      <c r="B475" s="0" t="n">
        <v>0.059596376113778</v>
      </c>
    </row>
    <row r="476" customFormat="false" ht="12.8" hidden="false" customHeight="false" outlineLevel="0" collapsed="false">
      <c r="A476" s="0" t="n">
        <v>474</v>
      </c>
      <c r="B476" s="0" t="n">
        <v>0.059191791913544</v>
      </c>
    </row>
    <row r="477" customFormat="false" ht="12.8" hidden="false" customHeight="false" outlineLevel="0" collapsed="false">
      <c r="A477" s="0" t="n">
        <v>475</v>
      </c>
      <c r="B477" s="0" t="n">
        <v>0.0534233666684728</v>
      </c>
    </row>
    <row r="478" customFormat="false" ht="12.8" hidden="false" customHeight="false" outlineLevel="0" collapsed="false">
      <c r="A478" s="0" t="n">
        <v>476</v>
      </c>
      <c r="B478" s="0" t="n">
        <v>0.0577901178153299</v>
      </c>
    </row>
    <row r="479" customFormat="false" ht="12.8" hidden="false" customHeight="false" outlineLevel="0" collapsed="false">
      <c r="A479" s="0" t="n">
        <v>477</v>
      </c>
      <c r="B479" s="0" t="n">
        <v>0.0587595410177215</v>
      </c>
    </row>
    <row r="480" customFormat="false" ht="12.8" hidden="false" customHeight="false" outlineLevel="0" collapsed="false">
      <c r="A480" s="0" t="n">
        <v>478</v>
      </c>
      <c r="B480" s="0" t="n">
        <v>0.0550321228894254</v>
      </c>
    </row>
    <row r="481" customFormat="false" ht="12.8" hidden="false" customHeight="false" outlineLevel="0" collapsed="false">
      <c r="A481" s="0" t="n">
        <v>479</v>
      </c>
      <c r="B481" s="0" t="n">
        <v>0.050425255008653</v>
      </c>
    </row>
    <row r="482" customFormat="false" ht="12.8" hidden="false" customHeight="false" outlineLevel="0" collapsed="false">
      <c r="A482" s="0" t="n">
        <v>480</v>
      </c>
      <c r="B482" s="0" t="n">
        <v>0.055171859207722</v>
      </c>
    </row>
    <row r="483" customFormat="false" ht="12.8" hidden="false" customHeight="false" outlineLevel="0" collapsed="false">
      <c r="A483" s="0" t="n">
        <v>481</v>
      </c>
      <c r="B483" s="0" t="n">
        <v>0.0563101673347589</v>
      </c>
    </row>
    <row r="484" customFormat="false" ht="12.8" hidden="false" customHeight="false" outlineLevel="0" collapsed="false">
      <c r="A484" s="0" t="n">
        <v>482</v>
      </c>
      <c r="B484" s="0" t="n">
        <v>0.0537185938588773</v>
      </c>
    </row>
    <row r="485" customFormat="false" ht="12.8" hidden="false" customHeight="false" outlineLevel="0" collapsed="false">
      <c r="A485" s="0" t="n">
        <v>483</v>
      </c>
      <c r="B485" s="0" t="n">
        <v>0.0574883364328771</v>
      </c>
    </row>
    <row r="486" customFormat="false" ht="12.8" hidden="false" customHeight="false" outlineLevel="0" collapsed="false">
      <c r="A486" s="0" t="n">
        <v>484</v>
      </c>
      <c r="B486" s="0" t="n">
        <v>0.0512549527988467</v>
      </c>
    </row>
    <row r="487" customFormat="false" ht="12.8" hidden="false" customHeight="false" outlineLevel="0" collapsed="false">
      <c r="A487" s="0" t="n">
        <v>485</v>
      </c>
      <c r="B487" s="0" t="n">
        <v>0.0501393375985102</v>
      </c>
    </row>
    <row r="488" customFormat="false" ht="12.8" hidden="false" customHeight="false" outlineLevel="0" collapsed="false">
      <c r="A488" s="0" t="n">
        <v>486</v>
      </c>
      <c r="B488" s="0" t="n">
        <v>0.0576531022466302</v>
      </c>
    </row>
    <row r="489" customFormat="false" ht="12.8" hidden="false" customHeight="false" outlineLevel="0" collapsed="false">
      <c r="A489" s="0" t="n">
        <v>487</v>
      </c>
      <c r="B489" s="0" t="n">
        <v>0.0550397454438579</v>
      </c>
    </row>
    <row r="490" customFormat="false" ht="12.8" hidden="false" customHeight="false" outlineLevel="0" collapsed="false">
      <c r="A490" s="0" t="n">
        <v>488</v>
      </c>
      <c r="B490" s="0" t="n">
        <v>0.0525119991255206</v>
      </c>
    </row>
    <row r="491" customFormat="false" ht="12.8" hidden="false" customHeight="false" outlineLevel="0" collapsed="false">
      <c r="A491" s="0" t="n">
        <v>489</v>
      </c>
      <c r="B491" s="0" t="n">
        <v>0.0586131003514388</v>
      </c>
    </row>
    <row r="492" customFormat="false" ht="12.8" hidden="false" customHeight="false" outlineLevel="0" collapsed="false">
      <c r="A492" s="0" t="n">
        <v>490</v>
      </c>
      <c r="B492" s="0" t="n">
        <v>0.0532090557561442</v>
      </c>
    </row>
    <row r="493" customFormat="false" ht="12.8" hidden="false" customHeight="false" outlineLevel="0" collapsed="false">
      <c r="A493" s="0" t="n">
        <v>491</v>
      </c>
      <c r="B493" s="0" t="n">
        <v>0.056115618140249</v>
      </c>
    </row>
    <row r="494" customFormat="false" ht="12.8" hidden="false" customHeight="false" outlineLevel="0" collapsed="false">
      <c r="A494" s="0" t="n">
        <v>492</v>
      </c>
      <c r="B494" s="0" t="n">
        <v>0.0544966393694308</v>
      </c>
    </row>
    <row r="495" customFormat="false" ht="12.8" hidden="false" customHeight="false" outlineLevel="0" collapsed="false">
      <c r="A495" s="0" t="n">
        <v>493</v>
      </c>
      <c r="B495" s="0" t="n">
        <v>0.0538195143671751</v>
      </c>
    </row>
    <row r="496" customFormat="false" ht="12.8" hidden="false" customHeight="false" outlineLevel="0" collapsed="false">
      <c r="A496" s="0" t="n">
        <v>494</v>
      </c>
      <c r="B496" s="0" t="n">
        <v>0.0566326537779012</v>
      </c>
    </row>
    <row r="497" customFormat="false" ht="12.8" hidden="false" customHeight="false" outlineLevel="0" collapsed="false">
      <c r="A497" s="0" t="n">
        <v>495</v>
      </c>
      <c r="B497" s="0" t="n">
        <v>0.0575477285301463</v>
      </c>
    </row>
    <row r="498" customFormat="false" ht="12.8" hidden="false" customHeight="false" outlineLevel="0" collapsed="false">
      <c r="A498" s="0" t="n">
        <v>496</v>
      </c>
      <c r="B498" s="0" t="n">
        <v>0.056454538541412</v>
      </c>
    </row>
    <row r="499" customFormat="false" ht="12.8" hidden="false" customHeight="false" outlineLevel="0" collapsed="false">
      <c r="A499" s="0" t="n">
        <v>497</v>
      </c>
      <c r="B499" s="0" t="n">
        <v>0.0504808917730132</v>
      </c>
    </row>
    <row r="500" customFormat="false" ht="12.8" hidden="false" customHeight="false" outlineLevel="0" collapsed="false">
      <c r="A500" s="0" t="n">
        <v>498</v>
      </c>
      <c r="B500" s="0" t="n">
        <v>0.057134779331809</v>
      </c>
    </row>
    <row r="501" customFormat="false" ht="12.8" hidden="false" customHeight="false" outlineLevel="0" collapsed="false">
      <c r="A501" s="0" t="n">
        <v>499</v>
      </c>
      <c r="B501" s="0" t="n">
        <v>0.0572764577380598</v>
      </c>
    </row>
    <row r="502" customFormat="false" ht="12.8" hidden="false" customHeight="false" outlineLevel="0" collapsed="false">
      <c r="A502" s="0" t="n">
        <v>500</v>
      </c>
      <c r="B502" s="0" t="n">
        <v>0.0580031790829433</v>
      </c>
    </row>
    <row r="503" customFormat="false" ht="12.8" hidden="false" customHeight="false" outlineLevel="0" collapsed="false">
      <c r="A503" s="0" t="n">
        <v>501</v>
      </c>
      <c r="B503" s="0" t="n">
        <v>0.052377658877556</v>
      </c>
    </row>
    <row r="504" customFormat="false" ht="12.8" hidden="false" customHeight="false" outlineLevel="0" collapsed="false">
      <c r="A504" s="0" t="n">
        <v>502</v>
      </c>
      <c r="B504" s="0" t="n">
        <v>0.0579672614124933</v>
      </c>
    </row>
    <row r="505" customFormat="false" ht="12.8" hidden="false" customHeight="false" outlineLevel="0" collapsed="false">
      <c r="A505" s="0" t="n">
        <v>503</v>
      </c>
      <c r="B505" s="0" t="n">
        <v>0.0596418791184607</v>
      </c>
    </row>
    <row r="506" customFormat="false" ht="12.8" hidden="false" customHeight="false" outlineLevel="0" collapsed="false">
      <c r="A506" s="0" t="n">
        <v>504</v>
      </c>
      <c r="B506" s="0" t="n">
        <v>0.0561871392910762</v>
      </c>
    </row>
    <row r="507" customFormat="false" ht="12.8" hidden="false" customHeight="false" outlineLevel="0" collapsed="false">
      <c r="A507" s="0" t="n">
        <v>505</v>
      </c>
      <c r="B507" s="0" t="n">
        <v>0.0598639029499442</v>
      </c>
    </row>
    <row r="508" customFormat="false" ht="12.8" hidden="false" customHeight="false" outlineLevel="0" collapsed="false">
      <c r="A508" s="0" t="n">
        <v>506</v>
      </c>
      <c r="B508" s="0" t="n">
        <v>0.0510558685986408</v>
      </c>
    </row>
    <row r="509" customFormat="false" ht="12.8" hidden="false" customHeight="false" outlineLevel="0" collapsed="false">
      <c r="A509" s="0" t="n">
        <v>507</v>
      </c>
      <c r="B509" s="0" t="n">
        <v>0.05178981988253</v>
      </c>
    </row>
    <row r="510" customFormat="false" ht="12.8" hidden="false" customHeight="false" outlineLevel="0" collapsed="false">
      <c r="A510" s="0" t="n">
        <v>508</v>
      </c>
      <c r="B510" s="0" t="n">
        <v>0.0583162497990759</v>
      </c>
    </row>
    <row r="511" customFormat="false" ht="12.8" hidden="false" customHeight="false" outlineLevel="0" collapsed="false">
      <c r="A511" s="0" t="n">
        <v>509</v>
      </c>
      <c r="B511" s="0" t="n">
        <v>0.0553314105748733</v>
      </c>
    </row>
    <row r="512" customFormat="false" ht="12.8" hidden="false" customHeight="false" outlineLevel="0" collapsed="false">
      <c r="A512" s="0" t="n">
        <v>510</v>
      </c>
      <c r="B512" s="0" t="n">
        <v>0.0566588473744419</v>
      </c>
    </row>
    <row r="513" customFormat="false" ht="12.8" hidden="false" customHeight="false" outlineLevel="0" collapsed="false">
      <c r="A513" s="0" t="n">
        <v>511</v>
      </c>
      <c r="B513" s="0" t="n">
        <v>0.0504930896876042</v>
      </c>
    </row>
    <row r="514" customFormat="false" ht="12.8" hidden="false" customHeight="false" outlineLevel="0" collapsed="false">
      <c r="A514" s="0" t="n">
        <v>512</v>
      </c>
      <c r="B514" s="0" t="n">
        <v>0.0564898943163129</v>
      </c>
    </row>
    <row r="515" customFormat="false" ht="12.8" hidden="false" customHeight="false" outlineLevel="0" collapsed="false">
      <c r="A515" s="0" t="n">
        <v>513</v>
      </c>
      <c r="B515" s="0" t="n">
        <v>0.0562308901297821</v>
      </c>
    </row>
    <row r="516" customFormat="false" ht="12.8" hidden="false" customHeight="false" outlineLevel="0" collapsed="false">
      <c r="A516" s="0" t="n">
        <v>514</v>
      </c>
      <c r="B516" s="0" t="n">
        <v>0.0540851927228557</v>
      </c>
    </row>
    <row r="517" customFormat="false" ht="12.8" hidden="false" customHeight="false" outlineLevel="0" collapsed="false">
      <c r="A517" s="0" t="n">
        <v>515</v>
      </c>
      <c r="B517" s="0" t="n">
        <v>0.0560736802255851</v>
      </c>
    </row>
    <row r="518" customFormat="false" ht="12.8" hidden="false" customHeight="false" outlineLevel="0" collapsed="false">
      <c r="A518" s="0" t="n">
        <v>516</v>
      </c>
      <c r="B518" s="0" t="n">
        <v>0.0592452100750847</v>
      </c>
    </row>
    <row r="519" customFormat="false" ht="12.8" hidden="false" customHeight="false" outlineLevel="0" collapsed="false">
      <c r="A519" s="0" t="n">
        <v>517</v>
      </c>
      <c r="B519" s="0" t="n">
        <v>0.0590065605944063</v>
      </c>
    </row>
    <row r="520" customFormat="false" ht="12.8" hidden="false" customHeight="false" outlineLevel="0" collapsed="false">
      <c r="A520" s="0" t="n">
        <v>518</v>
      </c>
      <c r="B520" s="0" t="n">
        <v>0.0503580661347944</v>
      </c>
    </row>
    <row r="521" customFormat="false" ht="12.8" hidden="false" customHeight="false" outlineLevel="0" collapsed="false">
      <c r="A521" s="0" t="n">
        <v>519</v>
      </c>
      <c r="B521" s="0" t="n">
        <v>0.0593004760446116</v>
      </c>
    </row>
    <row r="522" customFormat="false" ht="12.8" hidden="false" customHeight="false" outlineLevel="0" collapsed="false">
      <c r="A522" s="0" t="n">
        <v>520</v>
      </c>
      <c r="B522" s="0" t="n">
        <v>0.0558109233710858</v>
      </c>
    </row>
    <row r="523" customFormat="false" ht="12.8" hidden="false" customHeight="false" outlineLevel="0" collapsed="false">
      <c r="A523" s="0" t="n">
        <v>521</v>
      </c>
      <c r="B523" s="0" t="n">
        <v>0.0556950511113407</v>
      </c>
    </row>
    <row r="524" customFormat="false" ht="12.8" hidden="false" customHeight="false" outlineLevel="0" collapsed="false">
      <c r="A524" s="0" t="n">
        <v>522</v>
      </c>
      <c r="B524" s="0" t="n">
        <v>0.0545222756497541</v>
      </c>
    </row>
    <row r="525" customFormat="false" ht="12.8" hidden="false" customHeight="false" outlineLevel="0" collapsed="false">
      <c r="A525" s="0" t="n">
        <v>523</v>
      </c>
      <c r="B525" s="0" t="n">
        <v>0.052275687944541</v>
      </c>
    </row>
    <row r="526" customFormat="false" ht="12.8" hidden="false" customHeight="false" outlineLevel="0" collapsed="false">
      <c r="A526" s="0" t="n">
        <v>524</v>
      </c>
      <c r="B526" s="0" t="n">
        <v>0.053434941212309</v>
      </c>
    </row>
    <row r="527" customFormat="false" ht="12.8" hidden="false" customHeight="false" outlineLevel="0" collapsed="false">
      <c r="A527" s="0" t="n">
        <v>525</v>
      </c>
      <c r="B527" s="0" t="n">
        <v>0.0583325385321959</v>
      </c>
    </row>
    <row r="528" customFormat="false" ht="12.8" hidden="false" customHeight="false" outlineLevel="0" collapsed="false">
      <c r="A528" s="0" t="n">
        <v>526</v>
      </c>
      <c r="B528" s="0" t="n">
        <v>0.0505457658605054</v>
      </c>
    </row>
    <row r="529" customFormat="false" ht="12.8" hidden="false" customHeight="false" outlineLevel="0" collapsed="false">
      <c r="A529" s="0" t="n">
        <v>527</v>
      </c>
      <c r="B529" s="0" t="n">
        <v>0.0530375251660815</v>
      </c>
    </row>
    <row r="530" customFormat="false" ht="12.8" hidden="false" customHeight="false" outlineLevel="0" collapsed="false">
      <c r="A530" s="0" t="n">
        <v>528</v>
      </c>
      <c r="B530" s="0" t="n">
        <v>0.0575496685442448</v>
      </c>
    </row>
    <row r="531" customFormat="false" ht="12.8" hidden="false" customHeight="false" outlineLevel="0" collapsed="false">
      <c r="A531" s="0" t="n">
        <v>529</v>
      </c>
      <c r="B531" s="0" t="n">
        <v>0.0579536832741594</v>
      </c>
    </row>
    <row r="532" customFormat="false" ht="12.8" hidden="false" customHeight="false" outlineLevel="0" collapsed="false">
      <c r="A532" s="0" t="n">
        <v>530</v>
      </c>
      <c r="B532" s="0" t="n">
        <v>0.0573849652377007</v>
      </c>
    </row>
    <row r="533" customFormat="false" ht="12.8" hidden="false" customHeight="false" outlineLevel="0" collapsed="false">
      <c r="A533" s="0" t="n">
        <v>531</v>
      </c>
      <c r="B533" s="0" t="n">
        <v>0.0597393039983854</v>
      </c>
    </row>
    <row r="534" customFormat="false" ht="12.8" hidden="false" customHeight="false" outlineLevel="0" collapsed="false">
      <c r="A534" s="0" t="n">
        <v>532</v>
      </c>
      <c r="B534" s="0" t="n">
        <v>0.053382944374046</v>
      </c>
    </row>
    <row r="535" customFormat="false" ht="12.8" hidden="false" customHeight="false" outlineLevel="0" collapsed="false">
      <c r="A535" s="0" t="n">
        <v>533</v>
      </c>
      <c r="B535" s="0" t="n">
        <v>0.0556355307258911</v>
      </c>
    </row>
    <row r="536" customFormat="false" ht="12.8" hidden="false" customHeight="false" outlineLevel="0" collapsed="false">
      <c r="A536" s="0" t="n">
        <v>534</v>
      </c>
      <c r="B536" s="0" t="n">
        <v>0.0504323754418477</v>
      </c>
    </row>
    <row r="537" customFormat="false" ht="12.8" hidden="false" customHeight="false" outlineLevel="0" collapsed="false">
      <c r="A537" s="0" t="n">
        <v>535</v>
      </c>
      <c r="B537" s="0" t="n">
        <v>0.0524208843407647</v>
      </c>
    </row>
    <row r="538" customFormat="false" ht="12.8" hidden="false" customHeight="false" outlineLevel="0" collapsed="false">
      <c r="A538" s="0" t="n">
        <v>536</v>
      </c>
      <c r="B538" s="0" t="n">
        <v>0.0532989583759713</v>
      </c>
    </row>
    <row r="539" customFormat="false" ht="12.8" hidden="false" customHeight="false" outlineLevel="0" collapsed="false">
      <c r="A539" s="0" t="n">
        <v>537</v>
      </c>
      <c r="B539" s="0" t="n">
        <v>0.0562468468812749</v>
      </c>
    </row>
    <row r="540" customFormat="false" ht="12.8" hidden="false" customHeight="false" outlineLevel="0" collapsed="false">
      <c r="A540" s="0" t="n">
        <v>538</v>
      </c>
      <c r="B540" s="0" t="n">
        <v>0.0575582435205769</v>
      </c>
    </row>
    <row r="541" customFormat="false" ht="12.8" hidden="false" customHeight="false" outlineLevel="0" collapsed="false">
      <c r="A541" s="0" t="n">
        <v>539</v>
      </c>
      <c r="B541" s="0" t="n">
        <v>0.0536604477069833</v>
      </c>
    </row>
    <row r="542" customFormat="false" ht="12.8" hidden="false" customHeight="false" outlineLevel="0" collapsed="false">
      <c r="A542" s="0" t="n">
        <v>540</v>
      </c>
      <c r="B542" s="0" t="n">
        <v>0.0517625060468852</v>
      </c>
    </row>
    <row r="543" customFormat="false" ht="12.8" hidden="false" customHeight="false" outlineLevel="0" collapsed="false">
      <c r="A543" s="0" t="n">
        <v>541</v>
      </c>
      <c r="B543" s="0" t="n">
        <v>0.0510879512091428</v>
      </c>
    </row>
    <row r="544" customFormat="false" ht="12.8" hidden="false" customHeight="false" outlineLevel="0" collapsed="false">
      <c r="A544" s="0" t="n">
        <v>542</v>
      </c>
      <c r="B544" s="0" t="n">
        <v>0.0584322851525669</v>
      </c>
    </row>
    <row r="545" customFormat="false" ht="12.8" hidden="false" customHeight="false" outlineLevel="0" collapsed="false">
      <c r="A545" s="0" t="n">
        <v>543</v>
      </c>
      <c r="B545" s="0" t="n">
        <v>0.050590091878082</v>
      </c>
    </row>
    <row r="546" customFormat="false" ht="12.8" hidden="false" customHeight="false" outlineLevel="0" collapsed="false">
      <c r="A546" s="0" t="n">
        <v>544</v>
      </c>
      <c r="B546" s="0" t="n">
        <v>0.0534181539922561</v>
      </c>
    </row>
    <row r="547" customFormat="false" ht="12.8" hidden="false" customHeight="false" outlineLevel="0" collapsed="false">
      <c r="A547" s="0" t="n">
        <v>545</v>
      </c>
      <c r="B547" s="0" t="n">
        <v>0.0566053643033591</v>
      </c>
    </row>
    <row r="548" customFormat="false" ht="12.8" hidden="false" customHeight="false" outlineLevel="0" collapsed="false">
      <c r="A548" s="0" t="n">
        <v>546</v>
      </c>
      <c r="B548" s="0" t="n">
        <v>0.0576885614699502</v>
      </c>
    </row>
    <row r="549" customFormat="false" ht="12.8" hidden="false" customHeight="false" outlineLevel="0" collapsed="false">
      <c r="A549" s="0" t="n">
        <v>547</v>
      </c>
      <c r="B549" s="0" t="n">
        <v>0.0542030025254287</v>
      </c>
    </row>
    <row r="550" customFormat="false" ht="12.8" hidden="false" customHeight="false" outlineLevel="0" collapsed="false">
      <c r="A550" s="0" t="n">
        <v>548</v>
      </c>
      <c r="B550" s="0" t="n">
        <v>0.0505758748339748</v>
      </c>
    </row>
    <row r="551" customFormat="false" ht="12.8" hidden="false" customHeight="false" outlineLevel="0" collapsed="false">
      <c r="A551" s="0" t="n">
        <v>549</v>
      </c>
      <c r="B551" s="0" t="n">
        <v>0.050413299062716</v>
      </c>
    </row>
    <row r="552" customFormat="false" ht="12.8" hidden="false" customHeight="false" outlineLevel="0" collapsed="false">
      <c r="A552" s="0" t="n">
        <v>550</v>
      </c>
      <c r="B552" s="0" t="n">
        <v>0.0536572958835861</v>
      </c>
    </row>
    <row r="553" customFormat="false" ht="12.8" hidden="false" customHeight="false" outlineLevel="0" collapsed="false">
      <c r="A553" s="0" t="n">
        <v>551</v>
      </c>
      <c r="B553" s="0" t="n">
        <v>0.0560414243105223</v>
      </c>
    </row>
    <row r="554" customFormat="false" ht="12.8" hidden="false" customHeight="false" outlineLevel="0" collapsed="false">
      <c r="A554" s="0" t="n">
        <v>552</v>
      </c>
      <c r="B554" s="0" t="n">
        <v>0.0502671399781351</v>
      </c>
    </row>
    <row r="555" customFormat="false" ht="12.8" hidden="false" customHeight="false" outlineLevel="0" collapsed="false">
      <c r="A555" s="0" t="n">
        <v>553</v>
      </c>
      <c r="B555" s="0" t="n">
        <v>0.05511480697947</v>
      </c>
    </row>
    <row r="556" customFormat="false" ht="12.8" hidden="false" customHeight="false" outlineLevel="0" collapsed="false">
      <c r="A556" s="0" t="n">
        <v>554</v>
      </c>
      <c r="B556" s="0" t="n">
        <v>0.0583724764949988</v>
      </c>
    </row>
    <row r="557" customFormat="false" ht="12.8" hidden="false" customHeight="false" outlineLevel="0" collapsed="false">
      <c r="A557" s="0" t="n">
        <v>555</v>
      </c>
      <c r="B557" s="0" t="n">
        <v>0.0577576176346294</v>
      </c>
    </row>
    <row r="558" customFormat="false" ht="12.8" hidden="false" customHeight="false" outlineLevel="0" collapsed="false">
      <c r="A558" s="0" t="n">
        <v>556</v>
      </c>
      <c r="B558" s="0" t="n">
        <v>0.0575572115601962</v>
      </c>
    </row>
    <row r="559" customFormat="false" ht="12.8" hidden="false" customHeight="false" outlineLevel="0" collapsed="false">
      <c r="A559" s="0" t="n">
        <v>557</v>
      </c>
      <c r="B559" s="0" t="n">
        <v>0.054355318096032</v>
      </c>
    </row>
    <row r="560" customFormat="false" ht="12.8" hidden="false" customHeight="false" outlineLevel="0" collapsed="false">
      <c r="A560" s="0" t="n">
        <v>558</v>
      </c>
      <c r="B560" s="0" t="n">
        <v>0.0568786484122111</v>
      </c>
    </row>
    <row r="561" customFormat="false" ht="12.8" hidden="false" customHeight="false" outlineLevel="0" collapsed="false">
      <c r="A561" s="0" t="n">
        <v>559</v>
      </c>
      <c r="B561" s="0" t="n">
        <v>0.0549598282458702</v>
      </c>
    </row>
    <row r="562" customFormat="false" ht="12.8" hidden="false" customHeight="false" outlineLevel="0" collapsed="false">
      <c r="A562" s="0" t="n">
        <v>560</v>
      </c>
      <c r="B562" s="0" t="n">
        <v>0.0518324486084891</v>
      </c>
    </row>
    <row r="563" customFormat="false" ht="12.8" hidden="false" customHeight="false" outlineLevel="0" collapsed="false">
      <c r="A563" s="0" t="n">
        <v>561</v>
      </c>
      <c r="B563" s="0" t="n">
        <v>0.055389004293383</v>
      </c>
    </row>
    <row r="564" customFormat="false" ht="12.8" hidden="false" customHeight="false" outlineLevel="0" collapsed="false">
      <c r="A564" s="0" t="n">
        <v>562</v>
      </c>
      <c r="B564" s="0" t="n">
        <v>0.0506225486974385</v>
      </c>
    </row>
    <row r="565" customFormat="false" ht="12.8" hidden="false" customHeight="false" outlineLevel="0" collapsed="false">
      <c r="A565" s="0" t="n">
        <v>563</v>
      </c>
      <c r="B565" s="0" t="n">
        <v>0.0562997519863248</v>
      </c>
    </row>
    <row r="566" customFormat="false" ht="12.8" hidden="false" customHeight="false" outlineLevel="0" collapsed="false">
      <c r="A566" s="0" t="n">
        <v>564</v>
      </c>
      <c r="B566" s="0" t="n">
        <v>0.0547364213405028</v>
      </c>
    </row>
    <row r="567" customFormat="false" ht="12.8" hidden="false" customHeight="false" outlineLevel="0" collapsed="false">
      <c r="A567" s="0" t="n">
        <v>565</v>
      </c>
      <c r="B567" s="0" t="n">
        <v>0.0574893369885576</v>
      </c>
    </row>
    <row r="568" customFormat="false" ht="12.8" hidden="false" customHeight="false" outlineLevel="0" collapsed="false">
      <c r="A568" s="0" t="n">
        <v>566</v>
      </c>
      <c r="B568" s="0" t="n">
        <v>0.0540790508579249</v>
      </c>
    </row>
    <row r="569" customFormat="false" ht="12.8" hidden="false" customHeight="false" outlineLevel="0" collapsed="false">
      <c r="A569" s="0" t="n">
        <v>567</v>
      </c>
      <c r="B569" s="0" t="n">
        <v>0.0547902468723712</v>
      </c>
    </row>
    <row r="570" customFormat="false" ht="12.8" hidden="false" customHeight="false" outlineLevel="0" collapsed="false">
      <c r="A570" s="0" t="n">
        <v>568</v>
      </c>
      <c r="B570" s="0" t="n">
        <v>0.0520381690683473</v>
      </c>
    </row>
    <row r="571" customFormat="false" ht="12.8" hidden="false" customHeight="false" outlineLevel="0" collapsed="false">
      <c r="A571" s="0" t="n">
        <v>569</v>
      </c>
      <c r="B571" s="0" t="n">
        <v>0.0504293595229057</v>
      </c>
    </row>
    <row r="572" customFormat="false" ht="12.8" hidden="false" customHeight="false" outlineLevel="0" collapsed="false">
      <c r="A572" s="0" t="n">
        <v>570</v>
      </c>
      <c r="B572" s="0" t="n">
        <v>0.050381727582438</v>
      </c>
    </row>
    <row r="573" customFormat="false" ht="12.8" hidden="false" customHeight="false" outlineLevel="0" collapsed="false">
      <c r="A573" s="0" t="n">
        <v>571</v>
      </c>
      <c r="B573" s="0" t="n">
        <v>0.0543809648339303</v>
      </c>
    </row>
    <row r="574" customFormat="false" ht="12.8" hidden="false" customHeight="false" outlineLevel="0" collapsed="false">
      <c r="A574" s="0" t="n">
        <v>572</v>
      </c>
      <c r="B574" s="0" t="n">
        <v>0.0531508058008383</v>
      </c>
    </row>
    <row r="575" customFormat="false" ht="12.8" hidden="false" customHeight="false" outlineLevel="0" collapsed="false">
      <c r="A575" s="0" t="n">
        <v>573</v>
      </c>
      <c r="B575" s="0" t="n">
        <v>0.0535318755939634</v>
      </c>
    </row>
    <row r="576" customFormat="false" ht="12.8" hidden="false" customHeight="false" outlineLevel="0" collapsed="false">
      <c r="A576" s="0" t="n">
        <v>574</v>
      </c>
      <c r="B576" s="0" t="n">
        <v>0.0529705343245688</v>
      </c>
    </row>
    <row r="577" customFormat="false" ht="12.8" hidden="false" customHeight="false" outlineLevel="0" collapsed="false">
      <c r="A577" s="0" t="n">
        <v>575</v>
      </c>
      <c r="B577" s="0" t="n">
        <v>0.0549327589109631</v>
      </c>
    </row>
    <row r="578" customFormat="false" ht="12.8" hidden="false" customHeight="false" outlineLevel="0" collapsed="false">
      <c r="A578" s="0" t="n">
        <v>576</v>
      </c>
      <c r="B578" s="0" t="n">
        <v>0.0568381552463678</v>
      </c>
    </row>
    <row r="579" customFormat="false" ht="12.8" hidden="false" customHeight="false" outlineLevel="0" collapsed="false">
      <c r="A579" s="0" t="n">
        <v>577</v>
      </c>
      <c r="B579" s="0" t="n">
        <v>0.0589119702317736</v>
      </c>
    </row>
    <row r="580" customFormat="false" ht="12.8" hidden="false" customHeight="false" outlineLevel="0" collapsed="false">
      <c r="A580" s="0" t="n">
        <v>578</v>
      </c>
      <c r="B580" s="0" t="n">
        <v>0.0584232863874968</v>
      </c>
    </row>
    <row r="581" customFormat="false" ht="12.8" hidden="false" customHeight="false" outlineLevel="0" collapsed="false">
      <c r="A581" s="0" t="n">
        <v>579</v>
      </c>
      <c r="B581" s="0" t="n">
        <v>0.0587245297849557</v>
      </c>
    </row>
    <row r="582" customFormat="false" ht="12.8" hidden="false" customHeight="false" outlineLevel="0" collapsed="false">
      <c r="A582" s="0" t="n">
        <v>580</v>
      </c>
      <c r="B582" s="0" t="n">
        <v>0.0561851587276418</v>
      </c>
    </row>
    <row r="583" customFormat="false" ht="12.8" hidden="false" customHeight="false" outlineLevel="0" collapsed="false">
      <c r="A583" s="0" t="n">
        <v>581</v>
      </c>
      <c r="B583" s="0" t="n">
        <v>0.0571037607890802</v>
      </c>
    </row>
    <row r="584" customFormat="false" ht="12.8" hidden="false" customHeight="false" outlineLevel="0" collapsed="false">
      <c r="A584" s="0" t="n">
        <v>582</v>
      </c>
      <c r="B584" s="0" t="n">
        <v>0.053964659401439</v>
      </c>
    </row>
    <row r="585" customFormat="false" ht="12.8" hidden="false" customHeight="false" outlineLevel="0" collapsed="false">
      <c r="A585" s="0" t="n">
        <v>583</v>
      </c>
      <c r="B585" s="0" t="n">
        <v>0.0525203600913972</v>
      </c>
    </row>
    <row r="586" customFormat="false" ht="12.8" hidden="false" customHeight="false" outlineLevel="0" collapsed="false">
      <c r="A586" s="0" t="n">
        <v>584</v>
      </c>
      <c r="B586" s="0" t="n">
        <v>0.053070692794619</v>
      </c>
    </row>
    <row r="587" customFormat="false" ht="12.8" hidden="false" customHeight="false" outlineLevel="0" collapsed="false">
      <c r="A587" s="0" t="n">
        <v>585</v>
      </c>
      <c r="B587" s="0" t="n">
        <v>0.0561288164021181</v>
      </c>
    </row>
    <row r="588" customFormat="false" ht="12.8" hidden="false" customHeight="false" outlineLevel="0" collapsed="false">
      <c r="A588" s="0" t="n">
        <v>586</v>
      </c>
      <c r="B588" s="0" t="n">
        <v>0.051459594674933</v>
      </c>
    </row>
    <row r="589" customFormat="false" ht="12.8" hidden="false" customHeight="false" outlineLevel="0" collapsed="false">
      <c r="A589" s="0" t="n">
        <v>587</v>
      </c>
      <c r="B589" s="0" t="n">
        <v>0.0589615405298287</v>
      </c>
    </row>
    <row r="590" customFormat="false" ht="12.8" hidden="false" customHeight="false" outlineLevel="0" collapsed="false">
      <c r="A590" s="0" t="n">
        <v>588</v>
      </c>
      <c r="B590" s="0" t="n">
        <v>0.0531442488160877</v>
      </c>
    </row>
    <row r="591" customFormat="false" ht="12.8" hidden="false" customHeight="false" outlineLevel="0" collapsed="false">
      <c r="A591" s="0" t="n">
        <v>589</v>
      </c>
      <c r="B591" s="0" t="n">
        <v>0.0552537922315516</v>
      </c>
    </row>
    <row r="592" customFormat="false" ht="12.8" hidden="false" customHeight="false" outlineLevel="0" collapsed="false">
      <c r="A592" s="0" t="n">
        <v>590</v>
      </c>
      <c r="B592" s="0" t="n">
        <v>0.0570985625849348</v>
      </c>
    </row>
    <row r="593" customFormat="false" ht="12.8" hidden="false" customHeight="false" outlineLevel="0" collapsed="false">
      <c r="A593" s="0" t="n">
        <v>591</v>
      </c>
      <c r="B593" s="0" t="n">
        <v>0.055863575686591</v>
      </c>
    </row>
    <row r="594" customFormat="false" ht="12.8" hidden="false" customHeight="false" outlineLevel="0" collapsed="false">
      <c r="A594" s="0" t="n">
        <v>592</v>
      </c>
      <c r="B594" s="0" t="n">
        <v>0.0524500108085198</v>
      </c>
    </row>
    <row r="595" customFormat="false" ht="12.8" hidden="false" customHeight="false" outlineLevel="0" collapsed="false">
      <c r="A595" s="0" t="n">
        <v>593</v>
      </c>
      <c r="B595" s="0" t="n">
        <v>0.0587358844104318</v>
      </c>
    </row>
    <row r="596" customFormat="false" ht="12.8" hidden="false" customHeight="false" outlineLevel="0" collapsed="false">
      <c r="A596" s="0" t="n">
        <v>594</v>
      </c>
      <c r="B596" s="0" t="n">
        <v>0.0530252177715978</v>
      </c>
    </row>
    <row r="597" customFormat="false" ht="12.8" hidden="false" customHeight="false" outlineLevel="0" collapsed="false">
      <c r="A597" s="0" t="n">
        <v>595</v>
      </c>
      <c r="B597" s="0" t="n">
        <v>0.0518435891992156</v>
      </c>
    </row>
    <row r="598" customFormat="false" ht="12.8" hidden="false" customHeight="false" outlineLevel="0" collapsed="false">
      <c r="A598" s="0" t="n">
        <v>596</v>
      </c>
      <c r="B598" s="0" t="n">
        <v>0.050438897022585</v>
      </c>
    </row>
    <row r="599" customFormat="false" ht="12.8" hidden="false" customHeight="false" outlineLevel="0" collapsed="false">
      <c r="A599" s="0" t="n">
        <v>597</v>
      </c>
      <c r="B599" s="0" t="n">
        <v>0.0526799646078646</v>
      </c>
    </row>
    <row r="600" customFormat="false" ht="12.8" hidden="false" customHeight="false" outlineLevel="0" collapsed="false">
      <c r="A600" s="0" t="n">
        <v>598</v>
      </c>
      <c r="B600" s="0" t="n">
        <v>0.0559266112506479</v>
      </c>
    </row>
    <row r="601" customFormat="false" ht="12.8" hidden="false" customHeight="false" outlineLevel="0" collapsed="false">
      <c r="A601" s="0" t="n">
        <v>599</v>
      </c>
      <c r="B601" s="0" t="n">
        <v>0.055980459250773</v>
      </c>
    </row>
    <row r="602" customFormat="false" ht="12.8" hidden="false" customHeight="false" outlineLevel="0" collapsed="false">
      <c r="A602" s="0" t="n">
        <v>600</v>
      </c>
      <c r="B602" s="0" t="n">
        <v>0.0551382501869072</v>
      </c>
    </row>
    <row r="603" customFormat="false" ht="12.8" hidden="false" customHeight="false" outlineLevel="0" collapsed="false">
      <c r="A603" s="0" t="n">
        <v>601</v>
      </c>
      <c r="B603" s="0" t="n">
        <v>0.0527046010027291</v>
      </c>
    </row>
    <row r="604" customFormat="false" ht="12.8" hidden="false" customHeight="false" outlineLevel="0" collapsed="false">
      <c r="A604" s="0" t="n">
        <v>602</v>
      </c>
      <c r="B604" s="0" t="n">
        <v>0.0573252889859169</v>
      </c>
    </row>
    <row r="605" customFormat="false" ht="12.8" hidden="false" customHeight="false" outlineLevel="0" collapsed="false">
      <c r="A605" s="0" t="n">
        <v>603</v>
      </c>
      <c r="B605" s="0" t="n">
        <v>0.0502913146209246</v>
      </c>
    </row>
    <row r="606" customFormat="false" ht="12.8" hidden="false" customHeight="false" outlineLevel="0" collapsed="false">
      <c r="A606" s="0" t="n">
        <v>604</v>
      </c>
      <c r="B606" s="0" t="n">
        <v>0.0538352129099493</v>
      </c>
    </row>
    <row r="607" customFormat="false" ht="12.8" hidden="false" customHeight="false" outlineLevel="0" collapsed="false">
      <c r="A607" s="0" t="n">
        <v>605</v>
      </c>
      <c r="B607" s="0" t="n">
        <v>0.0583845967271049</v>
      </c>
    </row>
    <row r="608" customFormat="false" ht="12.8" hidden="false" customHeight="false" outlineLevel="0" collapsed="false">
      <c r="A608" s="0" t="n">
        <v>606</v>
      </c>
      <c r="B608" s="0" t="n">
        <v>0.058801857544787</v>
      </c>
    </row>
    <row r="609" customFormat="false" ht="12.8" hidden="false" customHeight="false" outlineLevel="0" collapsed="false">
      <c r="A609" s="0" t="n">
        <v>607</v>
      </c>
      <c r="B609" s="0" t="n">
        <v>0.0548275518428251</v>
      </c>
    </row>
    <row r="610" customFormat="false" ht="12.8" hidden="false" customHeight="false" outlineLevel="0" collapsed="false">
      <c r="A610" s="0" t="n">
        <v>608</v>
      </c>
      <c r="B610" s="0" t="n">
        <v>0.054615619442157</v>
      </c>
    </row>
    <row r="611" customFormat="false" ht="12.8" hidden="false" customHeight="false" outlineLevel="0" collapsed="false">
      <c r="A611" s="0" t="n">
        <v>609</v>
      </c>
      <c r="B611" s="0" t="n">
        <v>0.0598048512581313</v>
      </c>
    </row>
    <row r="612" customFormat="false" ht="12.8" hidden="false" customHeight="false" outlineLevel="0" collapsed="false">
      <c r="A612" s="0" t="n">
        <v>610</v>
      </c>
      <c r="B612" s="0" t="n">
        <v>0.0556641669655194</v>
      </c>
    </row>
    <row r="613" customFormat="false" ht="12.8" hidden="false" customHeight="false" outlineLevel="0" collapsed="false">
      <c r="A613" s="0" t="n">
        <v>611</v>
      </c>
      <c r="B613" s="0" t="n">
        <v>0.0560904789495672</v>
      </c>
    </row>
    <row r="614" customFormat="false" ht="12.8" hidden="false" customHeight="false" outlineLevel="0" collapsed="false">
      <c r="A614" s="0" t="n">
        <v>612</v>
      </c>
      <c r="B614" s="0" t="n">
        <v>0.0592810406261684</v>
      </c>
    </row>
    <row r="615" customFormat="false" ht="12.8" hidden="false" customHeight="false" outlineLevel="0" collapsed="false">
      <c r="A615" s="0" t="n">
        <v>613</v>
      </c>
      <c r="B615" s="0" t="n">
        <v>0.0524549504149473</v>
      </c>
    </row>
    <row r="616" customFormat="false" ht="12.8" hidden="false" customHeight="false" outlineLevel="0" collapsed="false">
      <c r="A616" s="0" t="n">
        <v>614</v>
      </c>
      <c r="B616" s="0" t="n">
        <v>0.0522795503945747</v>
      </c>
    </row>
    <row r="617" customFormat="false" ht="12.8" hidden="false" customHeight="false" outlineLevel="0" collapsed="false">
      <c r="A617" s="0" t="n">
        <v>615</v>
      </c>
      <c r="B617" s="0" t="n">
        <v>0.0530172834976684</v>
      </c>
    </row>
    <row r="618" customFormat="false" ht="12.8" hidden="false" customHeight="false" outlineLevel="0" collapsed="false">
      <c r="A618" s="0" t="n">
        <v>616</v>
      </c>
      <c r="B618" s="0" t="n">
        <v>0.0587907603357287</v>
      </c>
    </row>
    <row r="619" customFormat="false" ht="12.8" hidden="false" customHeight="false" outlineLevel="0" collapsed="false">
      <c r="A619" s="0" t="n">
        <v>617</v>
      </c>
      <c r="B619" s="0" t="n">
        <v>0.0549489389371714</v>
      </c>
    </row>
    <row r="620" customFormat="false" ht="12.8" hidden="false" customHeight="false" outlineLevel="0" collapsed="false">
      <c r="A620" s="0" t="n">
        <v>618</v>
      </c>
      <c r="B620" s="0" t="n">
        <v>0.0557328134377636</v>
      </c>
    </row>
    <row r="621" customFormat="false" ht="12.8" hidden="false" customHeight="false" outlineLevel="0" collapsed="false">
      <c r="A621" s="0" t="n">
        <v>619</v>
      </c>
      <c r="B621" s="0" t="n">
        <v>0.0514409048291528</v>
      </c>
    </row>
    <row r="622" customFormat="false" ht="12.8" hidden="false" customHeight="false" outlineLevel="0" collapsed="false">
      <c r="A622" s="0" t="n">
        <v>620</v>
      </c>
      <c r="B622" s="0" t="n">
        <v>0.0534884908104644</v>
      </c>
    </row>
    <row r="623" customFormat="false" ht="12.8" hidden="false" customHeight="false" outlineLevel="0" collapsed="false">
      <c r="A623" s="0" t="n">
        <v>621</v>
      </c>
      <c r="B623" s="0" t="n">
        <v>0.0587117913588796</v>
      </c>
    </row>
    <row r="624" customFormat="false" ht="12.8" hidden="false" customHeight="false" outlineLevel="0" collapsed="false">
      <c r="A624" s="0" t="n">
        <v>622</v>
      </c>
      <c r="B624" s="0" t="n">
        <v>0.0555689046873307</v>
      </c>
    </row>
    <row r="625" customFormat="false" ht="12.8" hidden="false" customHeight="false" outlineLevel="0" collapsed="false">
      <c r="A625" s="0" t="n">
        <v>623</v>
      </c>
      <c r="B625" s="0" t="n">
        <v>0.050534680392761</v>
      </c>
    </row>
    <row r="626" customFormat="false" ht="12.8" hidden="false" customHeight="false" outlineLevel="0" collapsed="false">
      <c r="A626" s="0" t="n">
        <v>624</v>
      </c>
      <c r="B626" s="0" t="n">
        <v>0.0521046840468554</v>
      </c>
    </row>
    <row r="627" customFormat="false" ht="12.8" hidden="false" customHeight="false" outlineLevel="0" collapsed="false">
      <c r="A627" s="0" t="n">
        <v>625</v>
      </c>
      <c r="B627" s="0" t="n">
        <v>0.0533572195273622</v>
      </c>
    </row>
    <row r="628" customFormat="false" ht="12.8" hidden="false" customHeight="false" outlineLevel="0" collapsed="false">
      <c r="A628" s="0" t="n">
        <v>626</v>
      </c>
      <c r="B628" s="0" t="n">
        <v>0.0513307977698243</v>
      </c>
    </row>
    <row r="629" customFormat="false" ht="12.8" hidden="false" customHeight="false" outlineLevel="0" collapsed="false">
      <c r="A629" s="0" t="n">
        <v>627</v>
      </c>
      <c r="B629" s="0" t="n">
        <v>0.0584305298434962</v>
      </c>
    </row>
    <row r="630" customFormat="false" ht="12.8" hidden="false" customHeight="false" outlineLevel="0" collapsed="false">
      <c r="A630" s="0" t="n">
        <v>628</v>
      </c>
      <c r="B630" s="0" t="n">
        <v>0.0558965005766783</v>
      </c>
    </row>
    <row r="631" customFormat="false" ht="12.8" hidden="false" customHeight="false" outlineLevel="0" collapsed="false">
      <c r="A631" s="0" t="n">
        <v>629</v>
      </c>
      <c r="B631" s="0" t="n">
        <v>0.0516547799492642</v>
      </c>
    </row>
    <row r="632" customFormat="false" ht="12.8" hidden="false" customHeight="false" outlineLevel="0" collapsed="false">
      <c r="A632" s="0" t="n">
        <v>630</v>
      </c>
      <c r="B632" s="0" t="n">
        <v>0.0582545362778929</v>
      </c>
    </row>
    <row r="633" customFormat="false" ht="12.8" hidden="false" customHeight="false" outlineLevel="0" collapsed="false">
      <c r="A633" s="0" t="n">
        <v>631</v>
      </c>
      <c r="B633" s="0" t="n">
        <v>0.0591587334463866</v>
      </c>
    </row>
    <row r="634" customFormat="false" ht="12.8" hidden="false" customHeight="false" outlineLevel="0" collapsed="false">
      <c r="A634" s="0" t="n">
        <v>632</v>
      </c>
      <c r="B634" s="0" t="n">
        <v>0.0549803923268579</v>
      </c>
    </row>
    <row r="635" customFormat="false" ht="12.8" hidden="false" customHeight="false" outlineLevel="0" collapsed="false">
      <c r="A635" s="0" t="n">
        <v>633</v>
      </c>
      <c r="B635" s="0" t="n">
        <v>0.0599288462710214</v>
      </c>
    </row>
    <row r="636" customFormat="false" ht="12.8" hidden="false" customHeight="false" outlineLevel="0" collapsed="false">
      <c r="A636" s="0" t="n">
        <v>634</v>
      </c>
      <c r="B636" s="0" t="n">
        <v>0.0504606299035163</v>
      </c>
    </row>
    <row r="637" customFormat="false" ht="12.8" hidden="false" customHeight="false" outlineLevel="0" collapsed="false">
      <c r="A637" s="0" t="n">
        <v>635</v>
      </c>
      <c r="B637" s="0" t="n">
        <v>0.0540638106374767</v>
      </c>
    </row>
    <row r="638" customFormat="false" ht="12.8" hidden="false" customHeight="false" outlineLevel="0" collapsed="false">
      <c r="A638" s="0" t="n">
        <v>636</v>
      </c>
      <c r="B638" s="0" t="n">
        <v>0.0571271588171796</v>
      </c>
    </row>
    <row r="639" customFormat="false" ht="12.8" hidden="false" customHeight="false" outlineLevel="0" collapsed="false">
      <c r="A639" s="0" t="n">
        <v>637</v>
      </c>
      <c r="B639" s="0" t="n">
        <v>0.0596687533755557</v>
      </c>
    </row>
    <row r="640" customFormat="false" ht="12.8" hidden="false" customHeight="false" outlineLevel="0" collapsed="false">
      <c r="A640" s="0" t="n">
        <v>638</v>
      </c>
      <c r="B640" s="0" t="n">
        <v>0.0568868265382968</v>
      </c>
    </row>
    <row r="641" customFormat="false" ht="12.8" hidden="false" customHeight="false" outlineLevel="0" collapsed="false">
      <c r="A641" s="0" t="n">
        <v>639</v>
      </c>
      <c r="B641" s="0" t="n">
        <v>0.0515252113493482</v>
      </c>
    </row>
    <row r="642" customFormat="false" ht="12.8" hidden="false" customHeight="false" outlineLevel="0" collapsed="false">
      <c r="A642" s="0" t="n">
        <v>640</v>
      </c>
      <c r="B642" s="0" t="n">
        <v>0.0509395761920008</v>
      </c>
    </row>
    <row r="643" customFormat="false" ht="12.8" hidden="false" customHeight="false" outlineLevel="0" collapsed="false">
      <c r="A643" s="0" t="n">
        <v>641</v>
      </c>
      <c r="B643" s="0" t="n">
        <v>0.0562311226322216</v>
      </c>
    </row>
    <row r="644" customFormat="false" ht="12.8" hidden="false" customHeight="false" outlineLevel="0" collapsed="false">
      <c r="A644" s="0" t="n">
        <v>642</v>
      </c>
      <c r="B644" s="0" t="n">
        <v>0.0542044438497682</v>
      </c>
    </row>
    <row r="645" customFormat="false" ht="12.8" hidden="false" customHeight="false" outlineLevel="0" collapsed="false">
      <c r="A645" s="0" t="n">
        <v>643</v>
      </c>
      <c r="B645" s="0" t="n">
        <v>0.0580961340245722</v>
      </c>
    </row>
    <row r="646" customFormat="false" ht="12.8" hidden="false" customHeight="false" outlineLevel="0" collapsed="false">
      <c r="A646" s="0" t="n">
        <v>644</v>
      </c>
      <c r="B646" s="0" t="n">
        <v>0.0591606343321249</v>
      </c>
    </row>
    <row r="647" customFormat="false" ht="12.8" hidden="false" customHeight="false" outlineLevel="0" collapsed="false">
      <c r="A647" s="0" t="n">
        <v>645</v>
      </c>
      <c r="B647" s="0" t="n">
        <v>0.0588246058972698</v>
      </c>
    </row>
    <row r="648" customFormat="false" ht="12.8" hidden="false" customHeight="false" outlineLevel="0" collapsed="false">
      <c r="A648" s="0" t="n">
        <v>646</v>
      </c>
      <c r="B648" s="0" t="n">
        <v>0.0523625092700286</v>
      </c>
    </row>
    <row r="649" customFormat="false" ht="12.8" hidden="false" customHeight="false" outlineLevel="0" collapsed="false">
      <c r="A649" s="0" t="n">
        <v>647</v>
      </c>
      <c r="B649" s="0" t="n">
        <v>0.0531093621490361</v>
      </c>
    </row>
    <row r="650" customFormat="false" ht="12.8" hidden="false" customHeight="false" outlineLevel="0" collapsed="false">
      <c r="A650" s="0" t="n">
        <v>648</v>
      </c>
      <c r="B650" s="0" t="n">
        <v>0.0563498466998268</v>
      </c>
    </row>
    <row r="651" customFormat="false" ht="12.8" hidden="false" customHeight="false" outlineLevel="0" collapsed="false">
      <c r="A651" s="0" t="n">
        <v>649</v>
      </c>
      <c r="B651" s="0" t="n">
        <v>0.0543775487152</v>
      </c>
    </row>
    <row r="652" customFormat="false" ht="12.8" hidden="false" customHeight="false" outlineLevel="0" collapsed="false">
      <c r="A652" s="0" t="n">
        <v>650</v>
      </c>
      <c r="B652" s="0" t="n">
        <v>0.0553547883861342</v>
      </c>
    </row>
    <row r="653" customFormat="false" ht="12.8" hidden="false" customHeight="false" outlineLevel="0" collapsed="false">
      <c r="A653" s="0" t="n">
        <v>651</v>
      </c>
      <c r="B653" s="0" t="n">
        <v>0.0543166097342582</v>
      </c>
    </row>
    <row r="654" customFormat="false" ht="12.8" hidden="false" customHeight="false" outlineLevel="0" collapsed="false">
      <c r="A654" s="0" t="n">
        <v>652</v>
      </c>
      <c r="B654" s="0" t="n">
        <v>0.059799818830787</v>
      </c>
    </row>
    <row r="655" customFormat="false" ht="12.8" hidden="false" customHeight="false" outlineLevel="0" collapsed="false">
      <c r="A655" s="0" t="n">
        <v>653</v>
      </c>
      <c r="B655" s="0" t="n">
        <v>0.0547973228514783</v>
      </c>
    </row>
    <row r="656" customFormat="false" ht="12.8" hidden="false" customHeight="false" outlineLevel="0" collapsed="false">
      <c r="A656" s="0" t="n">
        <v>654</v>
      </c>
      <c r="B656" s="0" t="n">
        <v>0.0526546937812709</v>
      </c>
    </row>
    <row r="657" customFormat="false" ht="12.8" hidden="false" customHeight="false" outlineLevel="0" collapsed="false">
      <c r="A657" s="0" t="n">
        <v>655</v>
      </c>
      <c r="B657" s="0" t="n">
        <v>0.053027879226032</v>
      </c>
    </row>
    <row r="658" customFormat="false" ht="12.8" hidden="false" customHeight="false" outlineLevel="0" collapsed="false">
      <c r="A658" s="0" t="n">
        <v>656</v>
      </c>
      <c r="B658" s="0" t="n">
        <v>0.0511066565150896</v>
      </c>
    </row>
    <row r="659" customFormat="false" ht="12.8" hidden="false" customHeight="false" outlineLevel="0" collapsed="false">
      <c r="A659" s="0" t="n">
        <v>657</v>
      </c>
      <c r="B659" s="0" t="n">
        <v>0.0561574775888365</v>
      </c>
    </row>
    <row r="660" customFormat="false" ht="12.8" hidden="false" customHeight="false" outlineLevel="0" collapsed="false">
      <c r="A660" s="0" t="n">
        <v>658</v>
      </c>
      <c r="B660" s="0" t="n">
        <v>0.0598366746625176</v>
      </c>
    </row>
    <row r="661" customFormat="false" ht="12.8" hidden="false" customHeight="false" outlineLevel="0" collapsed="false">
      <c r="A661" s="0" t="n">
        <v>659</v>
      </c>
      <c r="B661" s="0" t="n">
        <v>0.0568991621364991</v>
      </c>
    </row>
    <row r="662" customFormat="false" ht="12.8" hidden="false" customHeight="false" outlineLevel="0" collapsed="false">
      <c r="A662" s="0" t="n">
        <v>660</v>
      </c>
      <c r="B662" s="0" t="n">
        <v>0.0589090652539432</v>
      </c>
    </row>
    <row r="663" customFormat="false" ht="12.8" hidden="false" customHeight="false" outlineLevel="0" collapsed="false">
      <c r="A663" s="0" t="n">
        <v>661</v>
      </c>
      <c r="B663" s="0" t="n">
        <v>0.0522405801842453</v>
      </c>
    </row>
    <row r="664" customFormat="false" ht="12.8" hidden="false" customHeight="false" outlineLevel="0" collapsed="false">
      <c r="A664" s="0" t="n">
        <v>662</v>
      </c>
      <c r="B664" s="0" t="n">
        <v>0.0557075096235549</v>
      </c>
    </row>
    <row r="665" customFormat="false" ht="12.8" hidden="false" customHeight="false" outlineLevel="0" collapsed="false">
      <c r="A665" s="0" t="n">
        <v>663</v>
      </c>
      <c r="B665" s="0" t="n">
        <v>0.0560856809787826</v>
      </c>
    </row>
    <row r="666" customFormat="false" ht="12.8" hidden="false" customHeight="false" outlineLevel="0" collapsed="false">
      <c r="A666" s="0" t="n">
        <v>664</v>
      </c>
      <c r="B666" s="0" t="n">
        <v>0.056600895986503</v>
      </c>
    </row>
    <row r="667" customFormat="false" ht="12.8" hidden="false" customHeight="false" outlineLevel="0" collapsed="false">
      <c r="A667" s="0" t="n">
        <v>665</v>
      </c>
      <c r="B667" s="0" t="n">
        <v>0.0543508313555465</v>
      </c>
    </row>
    <row r="668" customFormat="false" ht="12.8" hidden="false" customHeight="false" outlineLevel="0" collapsed="false">
      <c r="A668" s="0" t="n">
        <v>666</v>
      </c>
      <c r="B668" s="0" t="n">
        <v>0.0589780348044891</v>
      </c>
    </row>
    <row r="669" customFormat="false" ht="12.8" hidden="false" customHeight="false" outlineLevel="0" collapsed="false">
      <c r="A669" s="0" t="n">
        <v>667</v>
      </c>
      <c r="B669" s="0" t="n">
        <v>0.0517915964722149</v>
      </c>
    </row>
    <row r="670" customFormat="false" ht="12.8" hidden="false" customHeight="false" outlineLevel="0" collapsed="false">
      <c r="A670" s="0" t="n">
        <v>668</v>
      </c>
      <c r="B670" s="0" t="n">
        <v>0.054594740836926</v>
      </c>
    </row>
    <row r="671" customFormat="false" ht="12.8" hidden="false" customHeight="false" outlineLevel="0" collapsed="false">
      <c r="A671" s="0" t="n">
        <v>669</v>
      </c>
      <c r="B671" s="0" t="n">
        <v>0.0509398972065599</v>
      </c>
    </row>
    <row r="672" customFormat="false" ht="12.8" hidden="false" customHeight="false" outlineLevel="0" collapsed="false">
      <c r="A672" s="0" t="n">
        <v>670</v>
      </c>
      <c r="B672" s="0" t="n">
        <v>0.0501256809012351</v>
      </c>
    </row>
    <row r="673" customFormat="false" ht="12.8" hidden="false" customHeight="false" outlineLevel="0" collapsed="false">
      <c r="A673" s="0" t="n">
        <v>671</v>
      </c>
      <c r="B673" s="0" t="n">
        <v>0.0560997087746578</v>
      </c>
    </row>
    <row r="674" customFormat="false" ht="12.8" hidden="false" customHeight="false" outlineLevel="0" collapsed="false">
      <c r="A674" s="0" t="n">
        <v>672</v>
      </c>
      <c r="B674" s="0" t="n">
        <v>0.0583218813403463</v>
      </c>
    </row>
    <row r="675" customFormat="false" ht="12.8" hidden="false" customHeight="false" outlineLevel="0" collapsed="false">
      <c r="A675" s="0" t="n">
        <v>673</v>
      </c>
      <c r="B675" s="0" t="n">
        <v>0.0585779300034469</v>
      </c>
    </row>
    <row r="676" customFormat="false" ht="12.8" hidden="false" customHeight="false" outlineLevel="0" collapsed="false">
      <c r="A676" s="0" t="n">
        <v>674</v>
      </c>
      <c r="B676" s="0" t="n">
        <v>0.0592250242460443</v>
      </c>
    </row>
    <row r="677" customFormat="false" ht="12.8" hidden="false" customHeight="false" outlineLevel="0" collapsed="false">
      <c r="A677" s="0" t="n">
        <v>675</v>
      </c>
      <c r="B677" s="0" t="n">
        <v>0.0572715422221619</v>
      </c>
    </row>
    <row r="678" customFormat="false" ht="12.8" hidden="false" customHeight="false" outlineLevel="0" collapsed="false">
      <c r="A678" s="0" t="n">
        <v>676</v>
      </c>
      <c r="B678" s="0" t="n">
        <v>0.0574970420377162</v>
      </c>
    </row>
    <row r="679" customFormat="false" ht="12.8" hidden="false" customHeight="false" outlineLevel="0" collapsed="false">
      <c r="A679" s="0" t="n">
        <v>677</v>
      </c>
      <c r="B679" s="0" t="n">
        <v>0.0594026535766196</v>
      </c>
    </row>
    <row r="680" customFormat="false" ht="12.8" hidden="false" customHeight="false" outlineLevel="0" collapsed="false">
      <c r="A680" s="0" t="n">
        <v>678</v>
      </c>
      <c r="B680" s="0" t="n">
        <v>0.0574163750896068</v>
      </c>
    </row>
    <row r="681" customFormat="false" ht="12.8" hidden="false" customHeight="false" outlineLevel="0" collapsed="false">
      <c r="A681" s="0" t="n">
        <v>679</v>
      </c>
      <c r="B681" s="0" t="n">
        <v>0.0546882654464039</v>
      </c>
    </row>
    <row r="682" customFormat="false" ht="12.8" hidden="false" customHeight="false" outlineLevel="0" collapsed="false">
      <c r="A682" s="0" t="n">
        <v>680</v>
      </c>
      <c r="B682" s="0" t="n">
        <v>0.0563858175159429</v>
      </c>
    </row>
    <row r="683" customFormat="false" ht="12.8" hidden="false" customHeight="false" outlineLevel="0" collapsed="false">
      <c r="A683" s="0" t="n">
        <v>681</v>
      </c>
      <c r="B683" s="0" t="n">
        <v>0.0559817710279559</v>
      </c>
    </row>
    <row r="684" customFormat="false" ht="12.8" hidden="false" customHeight="false" outlineLevel="0" collapsed="false">
      <c r="A684" s="0" t="n">
        <v>682</v>
      </c>
      <c r="B684" s="0" t="n">
        <v>0.055035685428079</v>
      </c>
    </row>
    <row r="685" customFormat="false" ht="12.8" hidden="false" customHeight="false" outlineLevel="0" collapsed="false">
      <c r="A685" s="0" t="n">
        <v>683</v>
      </c>
      <c r="B685" s="0" t="n">
        <v>0.0517510773704696</v>
      </c>
    </row>
    <row r="686" customFormat="false" ht="12.8" hidden="false" customHeight="false" outlineLevel="0" collapsed="false">
      <c r="A686" s="0" t="n">
        <v>684</v>
      </c>
      <c r="B686" s="0" t="n">
        <v>0.051046228713994</v>
      </c>
    </row>
    <row r="687" customFormat="false" ht="12.8" hidden="false" customHeight="false" outlineLevel="0" collapsed="false">
      <c r="A687" s="0" t="n">
        <v>685</v>
      </c>
      <c r="B687" s="0" t="n">
        <v>0.0552556023277012</v>
      </c>
    </row>
    <row r="688" customFormat="false" ht="12.8" hidden="false" customHeight="false" outlineLevel="0" collapsed="false">
      <c r="A688" s="0" t="n">
        <v>686</v>
      </c>
      <c r="B688" s="0" t="n">
        <v>0.0593870875815332</v>
      </c>
    </row>
    <row r="689" customFormat="false" ht="12.8" hidden="false" customHeight="false" outlineLevel="0" collapsed="false">
      <c r="A689" s="0" t="n">
        <v>687</v>
      </c>
      <c r="B689" s="0" t="n">
        <v>0.0557748801851312</v>
      </c>
    </row>
    <row r="690" customFormat="false" ht="12.8" hidden="false" customHeight="false" outlineLevel="0" collapsed="false">
      <c r="A690" s="0" t="n">
        <v>688</v>
      </c>
      <c r="B690" s="0" t="n">
        <v>0.0577006837679095</v>
      </c>
    </row>
    <row r="691" customFormat="false" ht="12.8" hidden="false" customHeight="false" outlineLevel="0" collapsed="false">
      <c r="A691" s="0" t="n">
        <v>689</v>
      </c>
      <c r="B691" s="0" t="n">
        <v>0.05160235724831</v>
      </c>
    </row>
    <row r="692" customFormat="false" ht="12.8" hidden="false" customHeight="false" outlineLevel="0" collapsed="false">
      <c r="A692" s="0" t="n">
        <v>690</v>
      </c>
      <c r="B692" s="0" t="n">
        <v>0.0535683256740364</v>
      </c>
    </row>
    <row r="693" customFormat="false" ht="12.8" hidden="false" customHeight="false" outlineLevel="0" collapsed="false">
      <c r="A693" s="0" t="n">
        <v>691</v>
      </c>
      <c r="B693" s="0" t="n">
        <v>0.0524658485953524</v>
      </c>
    </row>
    <row r="694" customFormat="false" ht="12.8" hidden="false" customHeight="false" outlineLevel="0" collapsed="false">
      <c r="A694" s="0" t="n">
        <v>692</v>
      </c>
      <c r="B694" s="0" t="n">
        <v>0.0537003262806542</v>
      </c>
    </row>
    <row r="695" customFormat="false" ht="12.8" hidden="false" customHeight="false" outlineLevel="0" collapsed="false">
      <c r="A695" s="0" t="n">
        <v>693</v>
      </c>
      <c r="B695" s="0" t="n">
        <v>0.0597443641274079</v>
      </c>
    </row>
    <row r="696" customFormat="false" ht="12.8" hidden="false" customHeight="false" outlineLevel="0" collapsed="false">
      <c r="A696" s="0" t="n">
        <v>694</v>
      </c>
      <c r="B696" s="0" t="n">
        <v>0.0520522541221361</v>
      </c>
    </row>
    <row r="697" customFormat="false" ht="12.8" hidden="false" customHeight="false" outlineLevel="0" collapsed="false">
      <c r="A697" s="0" t="n">
        <v>695</v>
      </c>
      <c r="B697" s="0" t="n">
        <v>0.057778006304816</v>
      </c>
    </row>
    <row r="698" customFormat="false" ht="12.8" hidden="false" customHeight="false" outlineLevel="0" collapsed="false">
      <c r="A698" s="0" t="n">
        <v>696</v>
      </c>
      <c r="B698" s="0" t="n">
        <v>0.0577073562906824</v>
      </c>
    </row>
    <row r="699" customFormat="false" ht="12.8" hidden="false" customHeight="false" outlineLevel="0" collapsed="false">
      <c r="A699" s="0" t="n">
        <v>697</v>
      </c>
      <c r="B699" s="0" t="n">
        <v>0.0549879263617347</v>
      </c>
    </row>
    <row r="700" customFormat="false" ht="12.8" hidden="false" customHeight="false" outlineLevel="0" collapsed="false">
      <c r="A700" s="0" t="n">
        <v>698</v>
      </c>
      <c r="B700" s="0" t="n">
        <v>0.053756925120968</v>
      </c>
    </row>
    <row r="701" customFormat="false" ht="12.8" hidden="false" customHeight="false" outlineLevel="0" collapsed="false">
      <c r="A701" s="0" t="n">
        <v>699</v>
      </c>
      <c r="B701" s="0" t="n">
        <v>0.0576647655639469</v>
      </c>
    </row>
    <row r="702" customFormat="false" ht="12.8" hidden="false" customHeight="false" outlineLevel="0" collapsed="false">
      <c r="A702" s="0" t="n">
        <v>700</v>
      </c>
      <c r="B702" s="0" t="n">
        <v>0.0535960788694422</v>
      </c>
    </row>
    <row r="703" customFormat="false" ht="12.8" hidden="false" customHeight="false" outlineLevel="0" collapsed="false">
      <c r="A703" s="0" t="n">
        <v>701</v>
      </c>
      <c r="B703" s="0" t="n">
        <v>0.055278019390542</v>
      </c>
    </row>
    <row r="704" customFormat="false" ht="12.8" hidden="false" customHeight="false" outlineLevel="0" collapsed="false">
      <c r="A704" s="0" t="n">
        <v>702</v>
      </c>
      <c r="B704" s="0" t="n">
        <v>0.0518408688016906</v>
      </c>
    </row>
    <row r="705" customFormat="false" ht="12.8" hidden="false" customHeight="false" outlineLevel="0" collapsed="false">
      <c r="A705" s="0" t="n">
        <v>703</v>
      </c>
      <c r="B705" s="0" t="n">
        <v>0.058519808139341</v>
      </c>
    </row>
    <row r="706" customFormat="false" ht="12.8" hidden="false" customHeight="false" outlineLevel="0" collapsed="false">
      <c r="A706" s="0" t="n">
        <v>704</v>
      </c>
      <c r="B706" s="0" t="n">
        <v>0.051476422258024</v>
      </c>
    </row>
    <row r="707" customFormat="false" ht="12.8" hidden="false" customHeight="false" outlineLevel="0" collapsed="false">
      <c r="A707" s="0" t="n">
        <v>705</v>
      </c>
      <c r="B707" s="0" t="n">
        <v>0.0563101815182043</v>
      </c>
    </row>
    <row r="708" customFormat="false" ht="12.8" hidden="false" customHeight="false" outlineLevel="0" collapsed="false">
      <c r="A708" s="0" t="n">
        <v>706</v>
      </c>
      <c r="B708" s="0" t="n">
        <v>0.0551193431444842</v>
      </c>
    </row>
    <row r="709" customFormat="false" ht="12.8" hidden="false" customHeight="false" outlineLevel="0" collapsed="false">
      <c r="A709" s="0" t="n">
        <v>707</v>
      </c>
      <c r="B709" s="0" t="n">
        <v>0.0519586325450719</v>
      </c>
    </row>
    <row r="710" customFormat="false" ht="12.8" hidden="false" customHeight="false" outlineLevel="0" collapsed="false">
      <c r="A710" s="0" t="n">
        <v>708</v>
      </c>
      <c r="B710" s="0" t="n">
        <v>0.0523671154246582</v>
      </c>
    </row>
    <row r="711" customFormat="false" ht="12.8" hidden="false" customHeight="false" outlineLevel="0" collapsed="false">
      <c r="A711" s="0" t="n">
        <v>709</v>
      </c>
      <c r="B711" s="0" t="n">
        <v>0.0532344081337277</v>
      </c>
    </row>
    <row r="712" customFormat="false" ht="12.8" hidden="false" customHeight="false" outlineLevel="0" collapsed="false">
      <c r="A712" s="0" t="n">
        <v>710</v>
      </c>
      <c r="B712" s="0" t="n">
        <v>0.0577776546934124</v>
      </c>
    </row>
    <row r="713" customFormat="false" ht="12.8" hidden="false" customHeight="false" outlineLevel="0" collapsed="false">
      <c r="A713" s="0" t="n">
        <v>711</v>
      </c>
      <c r="B713" s="0" t="n">
        <v>0.0563930759202863</v>
      </c>
    </row>
    <row r="714" customFormat="false" ht="12.8" hidden="false" customHeight="false" outlineLevel="0" collapsed="false">
      <c r="A714" s="0" t="n">
        <v>712</v>
      </c>
      <c r="B714" s="0" t="n">
        <v>0.0579868088971954</v>
      </c>
    </row>
    <row r="715" customFormat="false" ht="12.8" hidden="false" customHeight="false" outlineLevel="0" collapsed="false">
      <c r="A715" s="0" t="n">
        <v>713</v>
      </c>
      <c r="B715" s="0" t="n">
        <v>0.0516042343554775</v>
      </c>
    </row>
    <row r="716" customFormat="false" ht="12.8" hidden="false" customHeight="false" outlineLevel="0" collapsed="false">
      <c r="A716" s="0" t="n">
        <v>714</v>
      </c>
      <c r="B716" s="0" t="n">
        <v>0.0588887361277092</v>
      </c>
    </row>
    <row r="717" customFormat="false" ht="12.8" hidden="false" customHeight="false" outlineLevel="0" collapsed="false">
      <c r="A717" s="0" t="n">
        <v>715</v>
      </c>
      <c r="B717" s="0" t="n">
        <v>0.0542996467700332</v>
      </c>
    </row>
    <row r="718" customFormat="false" ht="12.8" hidden="false" customHeight="false" outlineLevel="0" collapsed="false">
      <c r="A718" s="0" t="n">
        <v>716</v>
      </c>
      <c r="B718" s="0" t="n">
        <v>0.0567198611639336</v>
      </c>
    </row>
    <row r="719" customFormat="false" ht="12.8" hidden="false" customHeight="false" outlineLevel="0" collapsed="false">
      <c r="A719" s="0" t="n">
        <v>717</v>
      </c>
      <c r="B719" s="0" t="n">
        <v>0.0562637435491273</v>
      </c>
    </row>
    <row r="720" customFormat="false" ht="12.8" hidden="false" customHeight="false" outlineLevel="0" collapsed="false">
      <c r="A720" s="0" t="n">
        <v>718</v>
      </c>
      <c r="B720" s="0" t="n">
        <v>0.0562547124941135</v>
      </c>
    </row>
    <row r="721" customFormat="false" ht="12.8" hidden="false" customHeight="false" outlineLevel="0" collapsed="false">
      <c r="A721" s="0" t="n">
        <v>719</v>
      </c>
      <c r="B721" s="0" t="n">
        <v>0.0575480534532927</v>
      </c>
    </row>
    <row r="722" customFormat="false" ht="12.8" hidden="false" customHeight="false" outlineLevel="0" collapsed="false">
      <c r="A722" s="0" t="n">
        <v>720</v>
      </c>
      <c r="B722" s="0" t="n">
        <v>0.0593988536200825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2</v>
      </c>
      <c r="C1" s="0" t="s">
        <v>3</v>
      </c>
      <c r="D1" s="0" t="s">
        <v>4</v>
      </c>
      <c r="E1" s="0" t="s">
        <v>5</v>
      </c>
    </row>
    <row r="2" customFormat="false" ht="12.8" hidden="false" customHeight="false" outlineLevel="0" collapsed="false">
      <c r="A2" s="3" t="n">
        <v>1</v>
      </c>
      <c r="B2" s="0" t="n">
        <f aca="false">INDEX(table_cohort_data!$A$1:$E$8,MATCH($A2,table_cohort_data!$A1:$A8,0),MATCH(B$1,table_cohort_data!$A$1:$E$1,0))</f>
        <v>12.34</v>
      </c>
      <c r="C2" s="0" t="n">
        <f aca="false">INDEX(table_cohort_data!$A$1:$E$8,MATCH($A2,table_cohort_data!$A1:$A8,0),MATCH(C$1,table_cohort_data!$A$1:$E$1,0))</f>
        <v>61</v>
      </c>
      <c r="D2" s="0" t="n">
        <f aca="false">INDEX(table_cohort_data!$A$1:$E$8,MATCH($A2,table_cohort_data!$A1:$A8,0),MATCH(D$1,table_cohort_data!$A$1:$E$1,0))</f>
        <v>31.2</v>
      </c>
      <c r="E2" s="0" t="str">
        <f aca="false">INDEX(table_cohort_data!$A$1:$E$8,MATCH($A2,table_cohort_data!$A1:$A8,0),MATCH(E$1,table_cohort_data!$A$1:$E$1,0))</f>
        <v>AM92U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1" activeCellId="0" sqref="L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9.93"/>
    <col collapsed="false" customWidth="true" hidden="false" outlineLevel="0" max="5" min="5" style="0" width="20.18"/>
    <col collapsed="false" customWidth="true" hidden="false" outlineLevel="0" max="6" min="6" style="0" width="22.66"/>
    <col collapsed="false" customWidth="true" hidden="false" outlineLevel="0" max="10" min="10" style="0" width="22.1"/>
    <col collapsed="false" customWidth="true" hidden="false" outlineLevel="0" max="11" min="11" style="0" width="25.81"/>
    <col collapsed="false" customWidth="true" hidden="false" outlineLevel="0" max="12" min="12" style="0" width="26.43"/>
  </cols>
  <sheetData>
    <row r="1" customFormat="false" ht="12.8" hidden="false" customHeight="false" outlineLevel="0" collapsed="false">
      <c r="A1" s="0" t="s">
        <v>16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</row>
    <row r="2" customFormat="false" ht="12.8" hidden="false" customHeight="false" outlineLevel="0" collapsed="false">
      <c r="A2" s="0" t="n">
        <v>0</v>
      </c>
      <c r="B2" s="0" t="n">
        <f aca="false">calc_cohort!D$2+constant!$B$1*A2</f>
        <v>31.2</v>
      </c>
      <c r="C2" s="0" t="n">
        <f aca="false">_xlfn.FLOOR.MATH(B2)</f>
        <v>31</v>
      </c>
      <c r="D2" s="4" t="n">
        <f aca="false">INDEX(table_mortality_rate!$A$1:$C$2000,MATCH(C2,table_mortality_rate!$A$1:$A$2000,0),MATCH(calc_cohort!$E$2,table_mortality_rate!A$1:C$1,0))</f>
        <v>0.000602</v>
      </c>
      <c r="E2" s="0" t="n">
        <f aca="false">(1-D2)^constant!$B$1</f>
        <v>0.999949819486188</v>
      </c>
      <c r="F2" s="0" t="n">
        <f aca="false">IF(A2=0,1,F1*E2)</f>
        <v>1</v>
      </c>
      <c r="G2" s="5" t="b">
        <f aca="false">B2&gt;=calc_cohort!C$2</f>
        <v>0</v>
      </c>
      <c r="H2" s="0" t="n">
        <f aca="false">IF(G2,1,0)</f>
        <v>0</v>
      </c>
      <c r="I2" s="0" t="n">
        <f aca="false">calc_cohort!$B$2*constant!$B$1*F2*H2</f>
        <v>0</v>
      </c>
      <c r="J2" s="0" t="n">
        <f aca="false">INDEX(table_spot_rate!B$1:B$2000,MATCH(A2,table_spot_rate!A$1:A$2000,0))</f>
        <v>0.056512451365165</v>
      </c>
      <c r="K2" s="0" t="n">
        <f aca="false">(1+J2)^(-A2*constant!$B$1)</f>
        <v>1</v>
      </c>
      <c r="L2" s="0" t="n">
        <f aca="false">K2*I2</f>
        <v>0</v>
      </c>
    </row>
    <row r="3" customFormat="false" ht="12.8" hidden="false" customHeight="false" outlineLevel="0" collapsed="false">
      <c r="A3" s="0" t="n">
        <v>1</v>
      </c>
      <c r="B3" s="0" t="n">
        <f aca="false">calc_cohort!D$2+constant!$B$1*A3</f>
        <v>31.2833333333333</v>
      </c>
      <c r="C3" s="0" t="n">
        <f aca="false">_xlfn.FLOOR.MATH(B3)</f>
        <v>31</v>
      </c>
      <c r="D3" s="4" t="n">
        <f aca="false">INDEX(table_mortality_rate!$A$1:$C$2000,MATCH(C3,table_mortality_rate!$A$1:$A$2000,0),MATCH(calc_cohort!$E$2,table_mortality_rate!A$1:C$1,0))</f>
        <v>0.000602</v>
      </c>
      <c r="E3" s="0" t="n">
        <f aca="false">(1-D3)^constant!$B$1</f>
        <v>0.999949819486188</v>
      </c>
      <c r="F3" s="0" t="n">
        <f aca="false">IF(A3=0,1,F2*E3)</f>
        <v>0.999949819486188</v>
      </c>
      <c r="G3" s="5" t="b">
        <f aca="false">B3&gt;=calc_cohort!C$2</f>
        <v>0</v>
      </c>
      <c r="H3" s="0" t="n">
        <f aca="false">IF(G3,1,0)</f>
        <v>0</v>
      </c>
      <c r="I3" s="0" t="n">
        <f aca="false">calc_cohort!$B$2*constant!$B$1*F3*H3</f>
        <v>0</v>
      </c>
      <c r="J3" s="0" t="n">
        <f aca="false">INDEX(table_spot_rate!B$1:B$2000,MATCH(A3,table_spot_rate!A$1:A$2000,0))</f>
        <v>0.0510915484575381</v>
      </c>
      <c r="K3" s="0" t="n">
        <f aca="false">(1+J3)^(-A3*constant!$B$1)</f>
        <v>0.995856176582594</v>
      </c>
      <c r="L3" s="0" t="n">
        <f aca="false">K3*I3</f>
        <v>0</v>
      </c>
    </row>
    <row r="4" customFormat="false" ht="12.8" hidden="false" customHeight="false" outlineLevel="0" collapsed="false">
      <c r="A4" s="0" t="n">
        <v>2</v>
      </c>
      <c r="B4" s="0" t="n">
        <f aca="false">calc_cohort!D$2+constant!$B$1*A4</f>
        <v>31.3666666666667</v>
      </c>
      <c r="C4" s="0" t="n">
        <f aca="false">_xlfn.FLOOR.MATH(B4)</f>
        <v>31</v>
      </c>
      <c r="D4" s="4" t="n">
        <f aca="false">INDEX(table_mortality_rate!$A$1:$C$2000,MATCH(C4,table_mortality_rate!$A$1:$A$2000,0),MATCH(calc_cohort!$E$2,table_mortality_rate!A$1:C$1,0))</f>
        <v>0.000602</v>
      </c>
      <c r="E4" s="0" t="n">
        <f aca="false">(1-D4)^constant!$B$1</f>
        <v>0.999949819486188</v>
      </c>
      <c r="F4" s="0" t="n">
        <f aca="false">IF(A4=0,1,F3*E4)</f>
        <v>0.99989964149046</v>
      </c>
      <c r="G4" s="5" t="b">
        <f aca="false">B4&gt;=calc_cohort!C$2</f>
        <v>0</v>
      </c>
      <c r="H4" s="0" t="n">
        <f aca="false">IF(G4,1,0)</f>
        <v>0</v>
      </c>
      <c r="I4" s="0" t="n">
        <f aca="false">calc_cohort!$B$2*constant!$B$1*F4*H4</f>
        <v>0</v>
      </c>
      <c r="J4" s="0" t="n">
        <f aca="false">INDEX(table_spot_rate!B$1:B$2000,MATCH(A4,table_spot_rate!A$1:A$2000,0))</f>
        <v>0.0554781624150343</v>
      </c>
      <c r="K4" s="0" t="n">
        <f aca="false">(1+J4)^(-A4*constant!$B$1)</f>
        <v>0.991041386535118</v>
      </c>
      <c r="L4" s="0" t="n">
        <f aca="false">K4*I4</f>
        <v>0</v>
      </c>
    </row>
    <row r="5" customFormat="false" ht="12.8" hidden="false" customHeight="false" outlineLevel="0" collapsed="false">
      <c r="A5" s="0" t="n">
        <v>3</v>
      </c>
      <c r="B5" s="0" t="n">
        <f aca="false">calc_cohort!D$2+constant!$B$1*A5</f>
        <v>31.45</v>
      </c>
      <c r="C5" s="0" t="n">
        <f aca="false">_xlfn.FLOOR.MATH(B5)</f>
        <v>31</v>
      </c>
      <c r="D5" s="4" t="n">
        <f aca="false">INDEX(table_mortality_rate!$A$1:$C$2000,MATCH(C5,table_mortality_rate!$A$1:$A$2000,0),MATCH(calc_cohort!$E$2,table_mortality_rate!A$1:C$1,0))</f>
        <v>0.000602</v>
      </c>
      <c r="E5" s="0" t="n">
        <f aca="false">(1-D5)^constant!$B$1</f>
        <v>0.999949819486188</v>
      </c>
      <c r="F5" s="0" t="n">
        <f aca="false">IF(A5=0,1,F4*E5)</f>
        <v>0.999849466012689</v>
      </c>
      <c r="G5" s="5" t="b">
        <f aca="false">B5&gt;=calc_cohort!C$2</f>
        <v>0</v>
      </c>
      <c r="H5" s="0" t="n">
        <f aca="false">IF(G5,1,0)</f>
        <v>0</v>
      </c>
      <c r="I5" s="0" t="n">
        <f aca="false">calc_cohort!$B$2*constant!$B$1*F5*H5</f>
        <v>0</v>
      </c>
      <c r="J5" s="0" t="n">
        <f aca="false">INDEX(table_spot_rate!B$1:B$2000,MATCH(A5,table_spot_rate!A$1:A$2000,0))</f>
        <v>0.0597059445864686</v>
      </c>
      <c r="K5" s="0" t="n">
        <f aca="false">(1+J5)^(-A5*constant!$B$1)</f>
        <v>0.985606723278675</v>
      </c>
      <c r="L5" s="0" t="n">
        <f aca="false">K5*I5</f>
        <v>0</v>
      </c>
    </row>
    <row r="6" customFormat="false" ht="12.8" hidden="false" customHeight="false" outlineLevel="0" collapsed="false">
      <c r="A6" s="0" t="n">
        <v>4</v>
      </c>
      <c r="B6" s="0" t="n">
        <f aca="false">calc_cohort!D$2+constant!$B$1*A6</f>
        <v>31.5333333333333</v>
      </c>
      <c r="C6" s="0" t="n">
        <f aca="false">_xlfn.FLOOR.MATH(B6)</f>
        <v>31</v>
      </c>
      <c r="D6" s="4" t="n">
        <f aca="false">INDEX(table_mortality_rate!$A$1:$C$2000,MATCH(C6,table_mortality_rate!$A$1:$A$2000,0),MATCH(calc_cohort!$E$2,table_mortality_rate!A$1:C$1,0))</f>
        <v>0.000602</v>
      </c>
      <c r="E6" s="0" t="n">
        <f aca="false">(1-D6)^constant!$B$1</f>
        <v>0.999949819486188</v>
      </c>
      <c r="F6" s="0" t="n">
        <f aca="false">IF(A6=0,1,F5*E6)</f>
        <v>0.99979929305275</v>
      </c>
      <c r="G6" s="5" t="b">
        <f aca="false">B6&gt;=calc_cohort!C$2</f>
        <v>0</v>
      </c>
      <c r="H6" s="0" t="n">
        <f aca="false">IF(G6,1,0)</f>
        <v>0</v>
      </c>
      <c r="I6" s="0" t="n">
        <f aca="false">calc_cohort!$B$2*constant!$B$1*F6*H6</f>
        <v>0</v>
      </c>
      <c r="J6" s="0" t="n">
        <f aca="false">INDEX(table_spot_rate!B$1:B$2000,MATCH(A6,table_spot_rate!A$1:A$2000,0))</f>
        <v>0.0524941860782259</v>
      </c>
      <c r="K6" s="0" t="n">
        <f aca="false">(1+J6)^(-A6*constant!$B$1)</f>
        <v>0.983090346393659</v>
      </c>
      <c r="L6" s="0" t="n">
        <f aca="false">K6*I6</f>
        <v>0</v>
      </c>
    </row>
    <row r="7" customFormat="false" ht="12.8" hidden="false" customHeight="false" outlineLevel="0" collapsed="false">
      <c r="A7" s="0" t="n">
        <v>5</v>
      </c>
      <c r="B7" s="0" t="n">
        <f aca="false">calc_cohort!D$2+constant!$B$1*A7</f>
        <v>31.6166666666667</v>
      </c>
      <c r="C7" s="0" t="n">
        <f aca="false">_xlfn.FLOOR.MATH(B7)</f>
        <v>31</v>
      </c>
      <c r="D7" s="4" t="n">
        <f aca="false">INDEX(table_mortality_rate!$A$1:$C$2000,MATCH(C7,table_mortality_rate!$A$1:$A$2000,0),MATCH(calc_cohort!$E$2,table_mortality_rate!A$1:C$1,0))</f>
        <v>0.000602</v>
      </c>
      <c r="E7" s="0" t="n">
        <f aca="false">(1-D7)^constant!$B$1</f>
        <v>0.999949819486188</v>
      </c>
      <c r="F7" s="0" t="n">
        <f aca="false">IF(A7=0,1,F6*E7)</f>
        <v>0.999749122610516</v>
      </c>
      <c r="G7" s="5" t="b">
        <f aca="false">B7&gt;=calc_cohort!C$2</f>
        <v>0</v>
      </c>
      <c r="H7" s="0" t="n">
        <f aca="false">IF(G7,1,0)</f>
        <v>0</v>
      </c>
      <c r="I7" s="0" t="n">
        <f aca="false">calc_cohort!$B$2*constant!$B$1*F7*H7</f>
        <v>0</v>
      </c>
      <c r="J7" s="0" t="n">
        <f aca="false">INDEX(table_spot_rate!B$1:B$2000,MATCH(A7,table_spot_rate!A$1:A$2000,0))</f>
        <v>0.0571502638399833</v>
      </c>
      <c r="K7" s="0" t="n">
        <f aca="false">(1+J7)^(-A7*constant!$B$1)</f>
        <v>0.977109042211154</v>
      </c>
      <c r="L7" s="0" t="n">
        <f aca="false">K7*I7</f>
        <v>0</v>
      </c>
    </row>
    <row r="8" customFormat="false" ht="12.8" hidden="false" customHeight="false" outlineLevel="0" collapsed="false">
      <c r="A8" s="0" t="n">
        <v>6</v>
      </c>
      <c r="B8" s="0" t="n">
        <f aca="false">calc_cohort!D$2+constant!$B$1*A8</f>
        <v>31.7</v>
      </c>
      <c r="C8" s="0" t="n">
        <f aca="false">_xlfn.FLOOR.MATH(B8)</f>
        <v>31</v>
      </c>
      <c r="D8" s="4" t="n">
        <f aca="false">INDEX(table_mortality_rate!$A$1:$C$2000,MATCH(C8,table_mortality_rate!$A$1:$A$2000,0),MATCH(calc_cohort!$E$2,table_mortality_rate!A$1:C$1,0))</f>
        <v>0.000602</v>
      </c>
      <c r="E8" s="0" t="n">
        <f aca="false">(1-D8)^constant!$B$1</f>
        <v>0.999949819486188</v>
      </c>
      <c r="F8" s="0" t="n">
        <f aca="false">IF(A8=0,1,F7*E8)</f>
        <v>0.99969895468586</v>
      </c>
      <c r="G8" s="5" t="b">
        <f aca="false">B8&gt;=calc_cohort!C$2</f>
        <v>0</v>
      </c>
      <c r="H8" s="0" t="n">
        <f aca="false">IF(G8,1,0)</f>
        <v>0</v>
      </c>
      <c r="I8" s="0" t="n">
        <f aca="false">calc_cohort!$B$2*constant!$B$1*F8*H8</f>
        <v>0</v>
      </c>
      <c r="J8" s="0" t="n">
        <f aca="false">INDEX(table_spot_rate!B$1:B$2000,MATCH(A8,table_spot_rate!A$1:A$2000,0))</f>
        <v>0.0518819097548015</v>
      </c>
      <c r="K8" s="0" t="n">
        <f aca="false">(1+J8)^(-A8*constant!$B$1)</f>
        <v>0.975026696371845</v>
      </c>
      <c r="L8" s="0" t="n">
        <f aca="false">K8*I8</f>
        <v>0</v>
      </c>
    </row>
    <row r="9" customFormat="false" ht="12.8" hidden="false" customHeight="false" outlineLevel="0" collapsed="false">
      <c r="A9" s="0" t="n">
        <v>7</v>
      </c>
      <c r="B9" s="0" t="n">
        <f aca="false">calc_cohort!D$2+constant!$B$1*A9</f>
        <v>31.7833333333333</v>
      </c>
      <c r="C9" s="0" t="n">
        <f aca="false">_xlfn.FLOOR.MATH(B9)</f>
        <v>31</v>
      </c>
      <c r="D9" s="4" t="n">
        <f aca="false">INDEX(table_mortality_rate!$A$1:$C$2000,MATCH(C9,table_mortality_rate!$A$1:$A$2000,0),MATCH(calc_cohort!$E$2,table_mortality_rate!A$1:C$1,0))</f>
        <v>0.000602</v>
      </c>
      <c r="E9" s="0" t="n">
        <f aca="false">(1-D9)^constant!$B$1</f>
        <v>0.999949819486188</v>
      </c>
      <c r="F9" s="0" t="n">
        <f aca="false">IF(A9=0,1,F8*E9)</f>
        <v>0.999648789278656</v>
      </c>
      <c r="G9" s="5" t="b">
        <f aca="false">B9&gt;=calc_cohort!C$2</f>
        <v>0</v>
      </c>
      <c r="H9" s="0" t="n">
        <f aca="false">IF(G9,1,0)</f>
        <v>0</v>
      </c>
      <c r="I9" s="0" t="n">
        <f aca="false">calc_cohort!$B$2*constant!$B$1*F9*H9</f>
        <v>0</v>
      </c>
      <c r="J9" s="0" t="n">
        <f aca="false">INDEX(table_spot_rate!B$1:B$2000,MATCH(A9,table_spot_rate!A$1:A$2000,0))</f>
        <v>0.0569870364284647</v>
      </c>
      <c r="K9" s="0" t="n">
        <f aca="false">(1+J9)^(-A9*constant!$B$1)</f>
        <v>0.968187261919782</v>
      </c>
      <c r="L9" s="0" t="n">
        <f aca="false">K9*I9</f>
        <v>0</v>
      </c>
    </row>
    <row r="10" customFormat="false" ht="12.8" hidden="false" customHeight="false" outlineLevel="0" collapsed="false">
      <c r="A10" s="0" t="n">
        <v>8</v>
      </c>
      <c r="B10" s="0" t="n">
        <f aca="false">calc_cohort!D$2+constant!$B$1*A10</f>
        <v>31.8666666666667</v>
      </c>
      <c r="C10" s="0" t="n">
        <f aca="false">_xlfn.FLOOR.MATH(B10)</f>
        <v>31</v>
      </c>
      <c r="D10" s="4" t="n">
        <f aca="false">INDEX(table_mortality_rate!$A$1:$C$2000,MATCH(C10,table_mortality_rate!$A$1:$A$2000,0),MATCH(calc_cohort!$E$2,table_mortality_rate!A$1:C$1,0))</f>
        <v>0.000602</v>
      </c>
      <c r="E10" s="0" t="n">
        <f aca="false">(1-D10)^constant!$B$1</f>
        <v>0.999949819486188</v>
      </c>
      <c r="F10" s="0" t="n">
        <f aca="false">IF(A10=0,1,F9*E10)</f>
        <v>0.999598626388779</v>
      </c>
      <c r="G10" s="5" t="b">
        <f aca="false">B10&gt;=calc_cohort!C$2</f>
        <v>0</v>
      </c>
      <c r="H10" s="0" t="n">
        <f aca="false">IF(G10,1,0)</f>
        <v>0</v>
      </c>
      <c r="I10" s="0" t="n">
        <f aca="false">calc_cohort!$B$2*constant!$B$1*F10*H10</f>
        <v>0</v>
      </c>
      <c r="J10" s="0" t="n">
        <f aca="false">INDEX(table_spot_rate!B$1:B$2000,MATCH(A10,table_spot_rate!A$1:A$2000,0))</f>
        <v>0.0514368481881529</v>
      </c>
      <c r="K10" s="0" t="n">
        <f aca="false">(1+J10)^(-A10*constant!$B$1)</f>
        <v>0.967114447818723</v>
      </c>
      <c r="L10" s="0" t="n">
        <f aca="false">K10*I10</f>
        <v>0</v>
      </c>
    </row>
    <row r="11" customFormat="false" ht="12.8" hidden="false" customHeight="false" outlineLevel="0" collapsed="false">
      <c r="A11" s="0" t="n">
        <v>9</v>
      </c>
      <c r="B11" s="0" t="n">
        <f aca="false">calc_cohort!D$2+constant!$B$1*A11</f>
        <v>31.95</v>
      </c>
      <c r="C11" s="0" t="n">
        <f aca="false">_xlfn.FLOOR.MATH(B11)</f>
        <v>31</v>
      </c>
      <c r="D11" s="4" t="n">
        <f aca="false">INDEX(table_mortality_rate!$A$1:$C$2000,MATCH(C11,table_mortality_rate!$A$1:$A$2000,0),MATCH(calc_cohort!$E$2,table_mortality_rate!A$1:C$1,0))</f>
        <v>0.000602</v>
      </c>
      <c r="E11" s="0" t="n">
        <f aca="false">(1-D11)^constant!$B$1</f>
        <v>0.999949819486188</v>
      </c>
      <c r="F11" s="0" t="n">
        <f aca="false">IF(A11=0,1,F10*E11)</f>
        <v>0.999548466016101</v>
      </c>
      <c r="G11" s="5" t="b">
        <f aca="false">B11&gt;=calc_cohort!C$2</f>
        <v>0</v>
      </c>
      <c r="H11" s="0" t="n">
        <f aca="false">IF(G11,1,0)</f>
        <v>0</v>
      </c>
      <c r="I11" s="0" t="n">
        <f aca="false">calc_cohort!$B$2*constant!$B$1*F11*H11</f>
        <v>0</v>
      </c>
      <c r="J11" s="0" t="n">
        <f aca="false">INDEX(table_spot_rate!B$1:B$2000,MATCH(A11,table_spot_rate!A$1:A$2000,0))</f>
        <v>0.0552254406403601</v>
      </c>
      <c r="K11" s="0" t="n">
        <f aca="false">(1+J11)^(-A11*constant!$B$1)</f>
        <v>0.960486046764573</v>
      </c>
      <c r="L11" s="0" t="n">
        <f aca="false">K11*I11</f>
        <v>0</v>
      </c>
    </row>
    <row r="12" customFormat="false" ht="12.8" hidden="false" customHeight="false" outlineLevel="0" collapsed="false">
      <c r="A12" s="0" t="n">
        <v>10</v>
      </c>
      <c r="B12" s="0" t="n">
        <f aca="false">calc_cohort!D$2+constant!$B$1*A12</f>
        <v>32.0333333333333</v>
      </c>
      <c r="C12" s="0" t="n">
        <f aca="false">_xlfn.FLOOR.MATH(B12)</f>
        <v>32</v>
      </c>
      <c r="D12" s="4" t="n">
        <f aca="false">INDEX(table_mortality_rate!$A$1:$C$2000,MATCH(C12,table_mortality_rate!$A$1:$A$2000,0),MATCH(calc_cohort!$E$2,table_mortality_rate!A$1:C$1,0))</f>
        <v>0.000617</v>
      </c>
      <c r="E12" s="0" t="n">
        <f aca="false">(1-D12)^constant!$B$1</f>
        <v>0.999948568787394</v>
      </c>
      <c r="F12" s="0" t="n">
        <f aca="false">IF(A12=0,1,F11*E12)</f>
        <v>0.999497058026435</v>
      </c>
      <c r="G12" s="5" t="b">
        <f aca="false">B12&gt;=calc_cohort!C$2</f>
        <v>0</v>
      </c>
      <c r="H12" s="0" t="n">
        <f aca="false">IF(G12,1,0)</f>
        <v>0</v>
      </c>
      <c r="I12" s="0" t="n">
        <f aca="false">calc_cohort!$B$2*constant!$B$1*F12*H12</f>
        <v>0</v>
      </c>
      <c r="J12" s="0" t="n">
        <f aca="false">INDEX(table_spot_rate!B$1:B$2000,MATCH(A12,table_spot_rate!A$1:A$2000,0))</f>
        <v>0.0571086078385225</v>
      </c>
      <c r="K12" s="0" t="n">
        <f aca="false">(1+J12)^(-A12*constant!$B$1)</f>
        <v>0.954773432090167</v>
      </c>
      <c r="L12" s="0" t="n">
        <f aca="false">K12*I12</f>
        <v>0</v>
      </c>
    </row>
    <row r="13" customFormat="false" ht="12.8" hidden="false" customHeight="false" outlineLevel="0" collapsed="false">
      <c r="A13" s="0" t="n">
        <v>11</v>
      </c>
      <c r="B13" s="0" t="n">
        <f aca="false">calc_cohort!D$2+constant!$B$1*A13</f>
        <v>32.1166666666667</v>
      </c>
      <c r="C13" s="0" t="n">
        <f aca="false">_xlfn.FLOOR.MATH(B13)</f>
        <v>32</v>
      </c>
      <c r="D13" s="4" t="n">
        <f aca="false">INDEX(table_mortality_rate!$A$1:$C$2000,MATCH(C13,table_mortality_rate!$A$1:$A$2000,0),MATCH(calc_cohort!$E$2,table_mortality_rate!A$1:C$1,0))</f>
        <v>0.000617</v>
      </c>
      <c r="E13" s="0" t="n">
        <f aca="false">(1-D13)^constant!$B$1</f>
        <v>0.999948568787394</v>
      </c>
      <c r="F13" s="0" t="n">
        <f aca="false">IF(A13=0,1,F12*E13)</f>
        <v>0.999445652680745</v>
      </c>
      <c r="G13" s="5" t="b">
        <f aca="false">B13&gt;=calc_cohort!C$2</f>
        <v>0</v>
      </c>
      <c r="H13" s="0" t="n">
        <f aca="false">IF(G13,1,0)</f>
        <v>0</v>
      </c>
      <c r="I13" s="0" t="n">
        <f aca="false">calc_cohort!$B$2*constant!$B$1*F13*H13</f>
        <v>0</v>
      </c>
      <c r="J13" s="0" t="n">
        <f aca="false">INDEX(table_spot_rate!B$1:B$2000,MATCH(A13,table_spot_rate!A$1:A$2000,0))</f>
        <v>0.0559521161466859</v>
      </c>
      <c r="K13" s="0" t="n">
        <f aca="false">(1+J13)^(-A13*constant!$B$1)</f>
        <v>0.95131890478291</v>
      </c>
      <c r="L13" s="0" t="n">
        <f aca="false">K13*I13</f>
        <v>0</v>
      </c>
    </row>
    <row r="14" customFormat="false" ht="12.8" hidden="false" customHeight="false" outlineLevel="0" collapsed="false">
      <c r="A14" s="0" t="n">
        <v>12</v>
      </c>
      <c r="B14" s="0" t="n">
        <f aca="false">calc_cohort!D$2+constant!$B$1*A14</f>
        <v>32.2</v>
      </c>
      <c r="C14" s="0" t="n">
        <f aca="false">_xlfn.FLOOR.MATH(B14)</f>
        <v>32</v>
      </c>
      <c r="D14" s="4" t="n">
        <f aca="false">INDEX(table_mortality_rate!$A$1:$C$2000,MATCH(C14,table_mortality_rate!$A$1:$A$2000,0),MATCH(calc_cohort!$E$2,table_mortality_rate!A$1:C$1,0))</f>
        <v>0.000617</v>
      </c>
      <c r="E14" s="0" t="n">
        <f aca="false">(1-D14)^constant!$B$1</f>
        <v>0.999948568787394</v>
      </c>
      <c r="F14" s="0" t="n">
        <f aca="false">IF(A14=0,1,F13*E14)</f>
        <v>0.999394249978894</v>
      </c>
      <c r="G14" s="5" t="b">
        <f aca="false">B14&gt;=calc_cohort!C$2</f>
        <v>0</v>
      </c>
      <c r="H14" s="0" t="n">
        <f aca="false">IF(G14,1,0)</f>
        <v>0</v>
      </c>
      <c r="I14" s="0" t="n">
        <f aca="false">calc_cohort!$B$2*constant!$B$1*F14*H14</f>
        <v>0</v>
      </c>
      <c r="J14" s="0" t="n">
        <f aca="false">INDEX(table_spot_rate!B$1:B$2000,MATCH(A14,table_spot_rate!A$1:A$2000,0))</f>
        <v>0.0537792469414071</v>
      </c>
      <c r="K14" s="0" t="n">
        <f aca="false">(1+J14)^(-A14*constant!$B$1)</f>
        <v>0.948965357689951</v>
      </c>
      <c r="L14" s="0" t="n">
        <f aca="false">K14*I14</f>
        <v>0</v>
      </c>
    </row>
    <row r="15" customFormat="false" ht="12.8" hidden="false" customHeight="false" outlineLevel="0" collapsed="false">
      <c r="A15" s="0" t="n">
        <v>13</v>
      </c>
      <c r="B15" s="0" t="n">
        <f aca="false">calc_cohort!D$2+constant!$B$1*A15</f>
        <v>32.2833333333333</v>
      </c>
      <c r="C15" s="0" t="n">
        <f aca="false">_xlfn.FLOOR.MATH(B15)</f>
        <v>32</v>
      </c>
      <c r="D15" s="4" t="n">
        <f aca="false">INDEX(table_mortality_rate!$A$1:$C$2000,MATCH(C15,table_mortality_rate!$A$1:$A$2000,0),MATCH(calc_cohort!$E$2,table_mortality_rate!A$1:C$1,0))</f>
        <v>0.000617</v>
      </c>
      <c r="E15" s="0" t="n">
        <f aca="false">(1-D15)^constant!$B$1</f>
        <v>0.999948568787394</v>
      </c>
      <c r="F15" s="0" t="n">
        <f aca="false">IF(A15=0,1,F14*E15)</f>
        <v>0.999342849920746</v>
      </c>
      <c r="G15" s="5" t="b">
        <f aca="false">B15&gt;=calc_cohort!C$2</f>
        <v>0</v>
      </c>
      <c r="H15" s="0" t="n">
        <f aca="false">IF(G15,1,0)</f>
        <v>0</v>
      </c>
      <c r="I15" s="0" t="n">
        <f aca="false">calc_cohort!$B$2*constant!$B$1*F15*H15</f>
        <v>0</v>
      </c>
      <c r="J15" s="0" t="n">
        <f aca="false">INDEX(table_spot_rate!B$1:B$2000,MATCH(A15,table_spot_rate!A$1:A$2000,0))</f>
        <v>0.0576509729522692</v>
      </c>
      <c r="K15" s="0" t="n">
        <f aca="false">(1+J15)^(-A15*constant!$B$1)</f>
        <v>0.941085529632538</v>
      </c>
      <c r="L15" s="0" t="n">
        <f aca="false">K15*I15</f>
        <v>0</v>
      </c>
    </row>
    <row r="16" customFormat="false" ht="12.8" hidden="false" customHeight="false" outlineLevel="0" collapsed="false">
      <c r="A16" s="0" t="n">
        <v>14</v>
      </c>
      <c r="B16" s="0" t="n">
        <f aca="false">calc_cohort!D$2+constant!$B$1*A16</f>
        <v>32.3666666666667</v>
      </c>
      <c r="C16" s="0" t="n">
        <f aca="false">_xlfn.FLOOR.MATH(B16)</f>
        <v>32</v>
      </c>
      <c r="D16" s="4" t="n">
        <f aca="false">INDEX(table_mortality_rate!$A$1:$C$2000,MATCH(C16,table_mortality_rate!$A$1:$A$2000,0),MATCH(calc_cohort!$E$2,table_mortality_rate!A$1:C$1,0))</f>
        <v>0.000617</v>
      </c>
      <c r="E16" s="0" t="n">
        <f aca="false">(1-D16)^constant!$B$1</f>
        <v>0.999948568787394</v>
      </c>
      <c r="F16" s="0" t="n">
        <f aca="false">IF(A16=0,1,F15*E16)</f>
        <v>0.999291452506166</v>
      </c>
      <c r="G16" s="5" t="b">
        <f aca="false">B16&gt;=calc_cohort!C$2</f>
        <v>0</v>
      </c>
      <c r="H16" s="0" t="n">
        <f aca="false">IF(G16,1,0)</f>
        <v>0</v>
      </c>
      <c r="I16" s="0" t="n">
        <f aca="false">calc_cohort!$B$2*constant!$B$1*F16*H16</f>
        <v>0</v>
      </c>
      <c r="J16" s="0" t="n">
        <f aca="false">INDEX(table_spot_rate!B$1:B$2000,MATCH(A16,table_spot_rate!A$1:A$2000,0))</f>
        <v>0.0503241503064561</v>
      </c>
      <c r="K16" s="0" t="n">
        <f aca="false">(1+J16)^(-A16*constant!$B$1)</f>
        <v>0.944327760081282</v>
      </c>
      <c r="L16" s="0" t="n">
        <f aca="false">K16*I16</f>
        <v>0</v>
      </c>
    </row>
    <row r="17" customFormat="false" ht="12.8" hidden="false" customHeight="false" outlineLevel="0" collapsed="false">
      <c r="A17" s="0" t="n">
        <v>15</v>
      </c>
      <c r="B17" s="0" t="n">
        <f aca="false">calc_cohort!D$2+constant!$B$1*A17</f>
        <v>32.45</v>
      </c>
      <c r="C17" s="0" t="n">
        <f aca="false">_xlfn.FLOOR.MATH(B17)</f>
        <v>32</v>
      </c>
      <c r="D17" s="4" t="n">
        <f aca="false">INDEX(table_mortality_rate!$A$1:$C$2000,MATCH(C17,table_mortality_rate!$A$1:$A$2000,0),MATCH(calc_cohort!$E$2,table_mortality_rate!A$1:C$1,0))</f>
        <v>0.000617</v>
      </c>
      <c r="E17" s="0" t="n">
        <f aca="false">(1-D17)^constant!$B$1</f>
        <v>0.999948568787394</v>
      </c>
      <c r="F17" s="0" t="n">
        <f aca="false">IF(A17=0,1,F16*E17)</f>
        <v>0.999240057735017</v>
      </c>
      <c r="G17" s="5" t="b">
        <f aca="false">B17&gt;=calc_cohort!C$2</f>
        <v>0</v>
      </c>
      <c r="H17" s="0" t="n">
        <f aca="false">IF(G17,1,0)</f>
        <v>0</v>
      </c>
      <c r="I17" s="0" t="n">
        <f aca="false">calc_cohort!$B$2*constant!$B$1*F17*H17</f>
        <v>0</v>
      </c>
      <c r="J17" s="0" t="n">
        <f aca="false">INDEX(table_spot_rate!B$1:B$2000,MATCH(A17,table_spot_rate!A$1:A$2000,0))</f>
        <v>0.0523136916627241</v>
      </c>
      <c r="K17" s="0" t="n">
        <f aca="false">(1+J17)^(-A17*constant!$B$1)</f>
        <v>0.938249785276248</v>
      </c>
      <c r="L17" s="0" t="n">
        <f aca="false">K17*I17</f>
        <v>0</v>
      </c>
    </row>
    <row r="18" customFormat="false" ht="12.8" hidden="false" customHeight="false" outlineLevel="0" collapsed="false">
      <c r="A18" s="0" t="n">
        <v>16</v>
      </c>
      <c r="B18" s="0" t="n">
        <f aca="false">calc_cohort!D$2+constant!$B$1*A18</f>
        <v>32.5333333333333</v>
      </c>
      <c r="C18" s="0" t="n">
        <f aca="false">_xlfn.FLOOR.MATH(B18)</f>
        <v>32</v>
      </c>
      <c r="D18" s="4" t="n">
        <f aca="false">INDEX(table_mortality_rate!$A$1:$C$2000,MATCH(C18,table_mortality_rate!$A$1:$A$2000,0),MATCH(calc_cohort!$E$2,table_mortality_rate!A$1:C$1,0))</f>
        <v>0.000617</v>
      </c>
      <c r="E18" s="0" t="n">
        <f aca="false">(1-D18)^constant!$B$1</f>
        <v>0.999948568787394</v>
      </c>
      <c r="F18" s="0" t="n">
        <f aca="false">IF(A18=0,1,F17*E18)</f>
        <v>0.999188665607164</v>
      </c>
      <c r="G18" s="5" t="b">
        <f aca="false">B18&gt;=calc_cohort!C$2</f>
        <v>0</v>
      </c>
      <c r="H18" s="0" t="n">
        <f aca="false">IF(G18,1,0)</f>
        <v>0</v>
      </c>
      <c r="I18" s="0" t="n">
        <f aca="false">calc_cohort!$B$2*constant!$B$1*F18*H18</f>
        <v>0</v>
      </c>
      <c r="J18" s="0" t="n">
        <f aca="false">INDEX(table_spot_rate!B$1:B$2000,MATCH(A18,table_spot_rate!A$1:A$2000,0))</f>
        <v>0.0503420335784768</v>
      </c>
      <c r="K18" s="0" t="n">
        <f aca="false">(1+J18)^(-A18*constant!$B$1)</f>
        <v>0.936610464107901</v>
      </c>
      <c r="L18" s="0" t="n">
        <f aca="false">K18*I18</f>
        <v>0</v>
      </c>
    </row>
    <row r="19" customFormat="false" ht="12.8" hidden="false" customHeight="false" outlineLevel="0" collapsed="false">
      <c r="A19" s="0" t="n">
        <v>17</v>
      </c>
      <c r="B19" s="0" t="n">
        <f aca="false">calc_cohort!D$2+constant!$B$1*A19</f>
        <v>32.6166666666667</v>
      </c>
      <c r="C19" s="0" t="n">
        <f aca="false">_xlfn.FLOOR.MATH(B19)</f>
        <v>32</v>
      </c>
      <c r="D19" s="4" t="n">
        <f aca="false">INDEX(table_mortality_rate!$A$1:$C$2000,MATCH(C19,table_mortality_rate!$A$1:$A$2000,0),MATCH(calc_cohort!$E$2,table_mortality_rate!A$1:C$1,0))</f>
        <v>0.000617</v>
      </c>
      <c r="E19" s="0" t="n">
        <f aca="false">(1-D19)^constant!$B$1</f>
        <v>0.999948568787394</v>
      </c>
      <c r="F19" s="0" t="n">
        <f aca="false">IF(A19=0,1,F18*E19)</f>
        <v>0.99913727612247</v>
      </c>
      <c r="G19" s="5" t="b">
        <f aca="false">B19&gt;=calc_cohort!C$2</f>
        <v>0</v>
      </c>
      <c r="H19" s="0" t="n">
        <f aca="false">IF(G19,1,0)</f>
        <v>0</v>
      </c>
      <c r="I19" s="0" t="n">
        <f aca="false">calc_cohort!$B$2*constant!$B$1*F19*H19</f>
        <v>0</v>
      </c>
      <c r="J19" s="0" t="n">
        <f aca="false">INDEX(table_spot_rate!B$1:B$2000,MATCH(A19,table_spot_rate!A$1:A$2000,0))</f>
        <v>0.0578151680084089</v>
      </c>
      <c r="K19" s="0" t="n">
        <f aca="false">(1+J19)^(-A19*constant!$B$1)</f>
        <v>0.923462924787616</v>
      </c>
      <c r="L19" s="0" t="n">
        <f aca="false">K19*I19</f>
        <v>0</v>
      </c>
    </row>
    <row r="20" customFormat="false" ht="12.8" hidden="false" customHeight="false" outlineLevel="0" collapsed="false">
      <c r="A20" s="0" t="n">
        <v>18</v>
      </c>
      <c r="B20" s="0" t="n">
        <f aca="false">calc_cohort!D$2+constant!$B$1*A20</f>
        <v>32.7</v>
      </c>
      <c r="C20" s="0" t="n">
        <f aca="false">_xlfn.FLOOR.MATH(B20)</f>
        <v>32</v>
      </c>
      <c r="D20" s="4" t="n">
        <f aca="false">INDEX(table_mortality_rate!$A$1:$C$2000,MATCH(C20,table_mortality_rate!$A$1:$A$2000,0),MATCH(calc_cohort!$E$2,table_mortality_rate!A$1:C$1,0))</f>
        <v>0.000617</v>
      </c>
      <c r="E20" s="0" t="n">
        <f aca="false">(1-D20)^constant!$B$1</f>
        <v>0.999948568787394</v>
      </c>
      <c r="F20" s="0" t="n">
        <f aca="false">IF(A20=0,1,F19*E20)</f>
        <v>0.999085889280799</v>
      </c>
      <c r="G20" s="5" t="b">
        <f aca="false">B20&gt;=calc_cohort!C$2</f>
        <v>0</v>
      </c>
      <c r="H20" s="0" t="n">
        <f aca="false">IF(G20,1,0)</f>
        <v>0</v>
      </c>
      <c r="I20" s="0" t="n">
        <f aca="false">calc_cohort!$B$2*constant!$B$1*F20*H20</f>
        <v>0</v>
      </c>
      <c r="J20" s="0" t="n">
        <f aca="false">INDEX(table_spot_rate!B$1:B$2000,MATCH(A20,table_spot_rate!A$1:A$2000,0))</f>
        <v>0.0573225715722227</v>
      </c>
      <c r="K20" s="0" t="n">
        <f aca="false">(1+J20)^(-A20*constant!$B$1)</f>
        <v>0.919790129323059</v>
      </c>
      <c r="L20" s="0" t="n">
        <f aca="false">K20*I20</f>
        <v>0</v>
      </c>
    </row>
    <row r="21" customFormat="false" ht="12.8" hidden="false" customHeight="false" outlineLevel="0" collapsed="false">
      <c r="A21" s="0" t="n">
        <v>19</v>
      </c>
      <c r="B21" s="0" t="n">
        <f aca="false">calc_cohort!D$2+constant!$B$1*A21</f>
        <v>32.7833333333333</v>
      </c>
      <c r="C21" s="0" t="n">
        <f aca="false">_xlfn.FLOOR.MATH(B21)</f>
        <v>32</v>
      </c>
      <c r="D21" s="4" t="n">
        <f aca="false">INDEX(table_mortality_rate!$A$1:$C$2000,MATCH(C21,table_mortality_rate!$A$1:$A$2000,0),MATCH(calc_cohort!$E$2,table_mortality_rate!A$1:C$1,0))</f>
        <v>0.000617</v>
      </c>
      <c r="E21" s="0" t="n">
        <f aca="false">(1-D21)^constant!$B$1</f>
        <v>0.999948568787394</v>
      </c>
      <c r="F21" s="0" t="n">
        <f aca="false">IF(A21=0,1,F20*E21)</f>
        <v>0.999034505082016</v>
      </c>
      <c r="G21" s="5" t="b">
        <f aca="false">B21&gt;=calc_cohort!C$2</f>
        <v>0</v>
      </c>
      <c r="H21" s="0" t="n">
        <f aca="false">IF(G21,1,0)</f>
        <v>0</v>
      </c>
      <c r="I21" s="0" t="n">
        <f aca="false">calc_cohort!$B$2*constant!$B$1*F21*H21</f>
        <v>0</v>
      </c>
      <c r="J21" s="0" t="n">
        <f aca="false">INDEX(table_spot_rate!B$1:B$2000,MATCH(A21,table_spot_rate!A$1:A$2000,0))</f>
        <v>0.0574259322396863</v>
      </c>
      <c r="K21" s="0" t="n">
        <f aca="false">(1+J21)^(-A21*constant!$B$1)</f>
        <v>0.915385934773457</v>
      </c>
      <c r="L21" s="0" t="n">
        <f aca="false">K21*I21</f>
        <v>0</v>
      </c>
    </row>
    <row r="22" customFormat="false" ht="12.8" hidden="false" customHeight="false" outlineLevel="0" collapsed="false">
      <c r="A22" s="0" t="n">
        <v>20</v>
      </c>
      <c r="B22" s="0" t="n">
        <f aca="false">calc_cohort!D$2+constant!$B$1*A22</f>
        <v>32.8666666666667</v>
      </c>
      <c r="C22" s="0" t="n">
        <f aca="false">_xlfn.FLOOR.MATH(B22)</f>
        <v>32</v>
      </c>
      <c r="D22" s="4" t="n">
        <f aca="false">INDEX(table_mortality_rate!$A$1:$C$2000,MATCH(C22,table_mortality_rate!$A$1:$A$2000,0),MATCH(calc_cohort!$E$2,table_mortality_rate!A$1:C$1,0))</f>
        <v>0.000617</v>
      </c>
      <c r="E22" s="0" t="n">
        <f aca="false">(1-D22)^constant!$B$1</f>
        <v>0.999948568787394</v>
      </c>
      <c r="F22" s="0" t="n">
        <f aca="false">IF(A22=0,1,F21*E22)</f>
        <v>0.998983123525985</v>
      </c>
      <c r="G22" s="5" t="b">
        <f aca="false">B22&gt;=calc_cohort!C$2</f>
        <v>0</v>
      </c>
      <c r="H22" s="0" t="n">
        <f aca="false">IF(G22,1,0)</f>
        <v>0</v>
      </c>
      <c r="I22" s="0" t="n">
        <f aca="false">calc_cohort!$B$2*constant!$B$1*F22*H22</f>
        <v>0</v>
      </c>
      <c r="J22" s="0" t="n">
        <f aca="false">INDEX(table_spot_rate!B$1:B$2000,MATCH(A22,table_spot_rate!A$1:A$2000,0))</f>
        <v>0.051442399772248</v>
      </c>
      <c r="K22" s="0" t="n">
        <f aca="false">(1+J22)^(-A22*constant!$B$1)</f>
        <v>0.919794601969486</v>
      </c>
      <c r="L22" s="0" t="n">
        <f aca="false">K22*I22</f>
        <v>0</v>
      </c>
    </row>
    <row r="23" customFormat="false" ht="12.8" hidden="false" customHeight="false" outlineLevel="0" collapsed="false">
      <c r="A23" s="0" t="n">
        <v>21</v>
      </c>
      <c r="B23" s="0" t="n">
        <f aca="false">calc_cohort!D$2+constant!$B$1*A23</f>
        <v>32.95</v>
      </c>
      <c r="C23" s="0" t="n">
        <f aca="false">_xlfn.FLOOR.MATH(B23)</f>
        <v>32</v>
      </c>
      <c r="D23" s="4" t="n">
        <f aca="false">INDEX(table_mortality_rate!$A$1:$C$2000,MATCH(C23,table_mortality_rate!$A$1:$A$2000,0),MATCH(calc_cohort!$E$2,table_mortality_rate!A$1:C$1,0))</f>
        <v>0.000617</v>
      </c>
      <c r="E23" s="0" t="n">
        <f aca="false">(1-D23)^constant!$B$1</f>
        <v>0.999948568787394</v>
      </c>
      <c r="F23" s="0" t="n">
        <f aca="false">IF(A23=0,1,F22*E23)</f>
        <v>0.998931744612569</v>
      </c>
      <c r="G23" s="5" t="b">
        <f aca="false">B23&gt;=calc_cohort!C$2</f>
        <v>0</v>
      </c>
      <c r="H23" s="0" t="n">
        <f aca="false">IF(G23,1,0)</f>
        <v>0</v>
      </c>
      <c r="I23" s="0" t="n">
        <f aca="false">calc_cohort!$B$2*constant!$B$1*F23*H23</f>
        <v>0</v>
      </c>
      <c r="J23" s="0" t="n">
        <f aca="false">INDEX(table_spot_rate!B$1:B$2000,MATCH(A23,table_spot_rate!A$1:A$2000,0))</f>
        <v>0.0502124053996257</v>
      </c>
      <c r="K23" s="0" t="n">
        <f aca="false">(1+J23)^(-A23*constant!$B$1)</f>
        <v>0.917835810067147</v>
      </c>
      <c r="L23" s="0" t="n">
        <f aca="false">K23*I23</f>
        <v>0</v>
      </c>
    </row>
    <row r="24" customFormat="false" ht="12.8" hidden="false" customHeight="false" outlineLevel="0" collapsed="false">
      <c r="A24" s="0" t="n">
        <v>22</v>
      </c>
      <c r="B24" s="0" t="n">
        <f aca="false">calc_cohort!D$2+constant!$B$1*A24</f>
        <v>33.0333333333333</v>
      </c>
      <c r="C24" s="0" t="n">
        <f aca="false">_xlfn.FLOOR.MATH(B24)</f>
        <v>33</v>
      </c>
      <c r="D24" s="4" t="n">
        <f aca="false">INDEX(table_mortality_rate!$A$1:$C$2000,MATCH(C24,table_mortality_rate!$A$1:$A$2000,0),MATCH(calc_cohort!$E$2,table_mortality_rate!A$1:C$1,0))</f>
        <v>0.000636</v>
      </c>
      <c r="E24" s="0" t="n">
        <f aca="false">(1-D24)^constant!$B$1</f>
        <v>0.99994698454422</v>
      </c>
      <c r="F24" s="0" t="n">
        <f aca="false">IF(A24=0,1,F23*E24)</f>
        <v>0.998878785790835</v>
      </c>
      <c r="G24" s="5" t="b">
        <f aca="false">B24&gt;=calc_cohort!C$2</f>
        <v>0</v>
      </c>
      <c r="H24" s="0" t="n">
        <f aca="false">IF(G24,1,0)</f>
        <v>0</v>
      </c>
      <c r="I24" s="0" t="n">
        <f aca="false">calc_cohort!$B$2*constant!$B$1*F24*H24</f>
        <v>0</v>
      </c>
      <c r="J24" s="0" t="n">
        <f aca="false">INDEX(table_spot_rate!B$1:B$2000,MATCH(A24,table_spot_rate!A$1:A$2000,0))</f>
        <v>0.059668402270291</v>
      </c>
      <c r="K24" s="0" t="n">
        <f aca="false">(1+J24)^(-A24*constant!$B$1)</f>
        <v>0.899197370826712</v>
      </c>
      <c r="L24" s="0" t="n">
        <f aca="false">K24*I24</f>
        <v>0</v>
      </c>
    </row>
    <row r="25" customFormat="false" ht="12.8" hidden="false" customHeight="false" outlineLevel="0" collapsed="false">
      <c r="A25" s="0" t="n">
        <v>23</v>
      </c>
      <c r="B25" s="0" t="n">
        <f aca="false">calc_cohort!D$2+constant!$B$1*A25</f>
        <v>33.1166666666667</v>
      </c>
      <c r="C25" s="0" t="n">
        <f aca="false">_xlfn.FLOOR.MATH(B25)</f>
        <v>33</v>
      </c>
      <c r="D25" s="4" t="n">
        <f aca="false">INDEX(table_mortality_rate!$A$1:$C$2000,MATCH(C25,table_mortality_rate!$A$1:$A$2000,0),MATCH(calc_cohort!$E$2,table_mortality_rate!A$1:C$1,0))</f>
        <v>0.000636</v>
      </c>
      <c r="E25" s="0" t="n">
        <f aca="false">(1-D25)^constant!$B$1</f>
        <v>0.99994698454422</v>
      </c>
      <c r="F25" s="0" t="n">
        <f aca="false">IF(A25=0,1,F24*E25)</f>
        <v>0.998825829776737</v>
      </c>
      <c r="G25" s="5" t="b">
        <f aca="false">B25&gt;=calc_cohort!C$2</f>
        <v>0</v>
      </c>
      <c r="H25" s="0" t="n">
        <f aca="false">IF(G25,1,0)</f>
        <v>0</v>
      </c>
      <c r="I25" s="0" t="n">
        <f aca="false">calc_cohort!$B$2*constant!$B$1*F25*H25</f>
        <v>0</v>
      </c>
      <c r="J25" s="0" t="n">
        <f aca="false">INDEX(table_spot_rate!B$1:B$2000,MATCH(A25,table_spot_rate!A$1:A$2000,0))</f>
        <v>0.054434126041358</v>
      </c>
      <c r="K25" s="0" t="n">
        <f aca="false">(1+J25)^(-A25*constant!$B$1)</f>
        <v>0.903398534096123</v>
      </c>
      <c r="L25" s="0" t="n">
        <f aca="false">K25*I25</f>
        <v>0</v>
      </c>
    </row>
    <row r="26" customFormat="false" ht="12.8" hidden="false" customHeight="false" outlineLevel="0" collapsed="false">
      <c r="A26" s="0" t="n">
        <v>24</v>
      </c>
      <c r="B26" s="0" t="n">
        <f aca="false">calc_cohort!D$2+constant!$B$1*A26</f>
        <v>33.2</v>
      </c>
      <c r="C26" s="0" t="n">
        <f aca="false">_xlfn.FLOOR.MATH(B26)</f>
        <v>33</v>
      </c>
      <c r="D26" s="4" t="n">
        <f aca="false">INDEX(table_mortality_rate!$A$1:$C$2000,MATCH(C26,table_mortality_rate!$A$1:$A$2000,0),MATCH(calc_cohort!$E$2,table_mortality_rate!A$1:C$1,0))</f>
        <v>0.000636</v>
      </c>
      <c r="E26" s="0" t="n">
        <f aca="false">(1-D26)^constant!$B$1</f>
        <v>0.99994698454422</v>
      </c>
      <c r="F26" s="0" t="n">
        <f aca="false">IF(A26=0,1,F25*E26)</f>
        <v>0.998772876570126</v>
      </c>
      <c r="G26" s="5" t="b">
        <f aca="false">B26&gt;=calc_cohort!C$2</f>
        <v>0</v>
      </c>
      <c r="H26" s="0" t="n">
        <f aca="false">IF(G26,1,0)</f>
        <v>0</v>
      </c>
      <c r="I26" s="0" t="n">
        <f aca="false">calc_cohort!$B$2*constant!$B$1*F26*H26</f>
        <v>0</v>
      </c>
      <c r="J26" s="0" t="n">
        <f aca="false">INDEX(table_spot_rate!B$1:B$2000,MATCH(A26,table_spot_rate!A$1:A$2000,0))</f>
        <v>0.0561467037390131</v>
      </c>
      <c r="K26" s="0" t="n">
        <f aca="false">(1+J26)^(-A26*constant!$B$1)</f>
        <v>0.896502498258823</v>
      </c>
      <c r="L26" s="0" t="n">
        <f aca="false">K26*I26</f>
        <v>0</v>
      </c>
    </row>
    <row r="27" customFormat="false" ht="12.8" hidden="false" customHeight="false" outlineLevel="0" collapsed="false">
      <c r="A27" s="0" t="n">
        <v>25</v>
      </c>
      <c r="B27" s="0" t="n">
        <f aca="false">calc_cohort!D$2+constant!$B$1*A27</f>
        <v>33.2833333333333</v>
      </c>
      <c r="C27" s="0" t="n">
        <f aca="false">_xlfn.FLOOR.MATH(B27)</f>
        <v>33</v>
      </c>
      <c r="D27" s="4" t="n">
        <f aca="false">INDEX(table_mortality_rate!$A$1:$C$2000,MATCH(C27,table_mortality_rate!$A$1:$A$2000,0),MATCH(calc_cohort!$E$2,table_mortality_rate!A$1:C$1,0))</f>
        <v>0.000636</v>
      </c>
      <c r="E27" s="0" t="n">
        <f aca="false">(1-D27)^constant!$B$1</f>
        <v>0.99994698454422</v>
      </c>
      <c r="F27" s="0" t="n">
        <f aca="false">IF(A27=0,1,F26*E27)</f>
        <v>0.998719926170853</v>
      </c>
      <c r="G27" s="5" t="b">
        <f aca="false">B27&gt;=calc_cohort!C$2</f>
        <v>0</v>
      </c>
      <c r="H27" s="0" t="n">
        <f aca="false">IF(G27,1,0)</f>
        <v>0</v>
      </c>
      <c r="I27" s="0" t="n">
        <f aca="false">calc_cohort!$B$2*constant!$B$1*F27*H27</f>
        <v>0</v>
      </c>
      <c r="J27" s="0" t="n">
        <f aca="false">INDEX(table_spot_rate!B$1:B$2000,MATCH(A27,table_spot_rate!A$1:A$2000,0))</f>
        <v>0.0521563608905544</v>
      </c>
      <c r="K27" s="0" t="n">
        <f aca="false">(1+J27)^(-A27*constant!$B$1)</f>
        <v>0.899496351387717</v>
      </c>
      <c r="L27" s="0" t="n">
        <f aca="false">K27*I27</f>
        <v>0</v>
      </c>
    </row>
    <row r="28" customFormat="false" ht="12.8" hidden="false" customHeight="false" outlineLevel="0" collapsed="false">
      <c r="A28" s="0" t="n">
        <v>26</v>
      </c>
      <c r="B28" s="0" t="n">
        <f aca="false">calc_cohort!D$2+constant!$B$1*A28</f>
        <v>33.3666666666667</v>
      </c>
      <c r="C28" s="0" t="n">
        <f aca="false">_xlfn.FLOOR.MATH(B28)</f>
        <v>33</v>
      </c>
      <c r="D28" s="4" t="n">
        <f aca="false">INDEX(table_mortality_rate!$A$1:$C$2000,MATCH(C28,table_mortality_rate!$A$1:$A$2000,0),MATCH(calc_cohort!$E$2,table_mortality_rate!A$1:C$1,0))</f>
        <v>0.000636</v>
      </c>
      <c r="E28" s="0" t="n">
        <f aca="false">(1-D28)^constant!$B$1</f>
        <v>0.99994698454422</v>
      </c>
      <c r="F28" s="0" t="n">
        <f aca="false">IF(A28=0,1,F27*E28)</f>
        <v>0.99866697857877</v>
      </c>
      <c r="G28" s="5" t="b">
        <f aca="false">B28&gt;=calc_cohort!C$2</f>
        <v>0</v>
      </c>
      <c r="H28" s="0" t="n">
        <f aca="false">IF(G28,1,0)</f>
        <v>0</v>
      </c>
      <c r="I28" s="0" t="n">
        <f aca="false">calc_cohort!$B$2*constant!$B$1*F28*H28</f>
        <v>0</v>
      </c>
      <c r="J28" s="0" t="n">
        <f aca="false">INDEX(table_spot_rate!B$1:B$2000,MATCH(A28,table_spot_rate!A$1:A$2000,0))</f>
        <v>0.0524740916291022</v>
      </c>
      <c r="K28" s="0" t="n">
        <f aca="false">(1+J28)^(-A28*constant!$B$1)</f>
        <v>0.895107652762464</v>
      </c>
      <c r="L28" s="0" t="n">
        <f aca="false">K28*I28</f>
        <v>0</v>
      </c>
    </row>
    <row r="29" customFormat="false" ht="12.8" hidden="false" customHeight="false" outlineLevel="0" collapsed="false">
      <c r="A29" s="0" t="n">
        <v>27</v>
      </c>
      <c r="B29" s="0" t="n">
        <f aca="false">calc_cohort!D$2+constant!$B$1*A29</f>
        <v>33.45</v>
      </c>
      <c r="C29" s="0" t="n">
        <f aca="false">_xlfn.FLOOR.MATH(B29)</f>
        <v>33</v>
      </c>
      <c r="D29" s="4" t="n">
        <f aca="false">INDEX(table_mortality_rate!$A$1:$C$2000,MATCH(C29,table_mortality_rate!$A$1:$A$2000,0),MATCH(calc_cohort!$E$2,table_mortality_rate!A$1:C$1,0))</f>
        <v>0.000636</v>
      </c>
      <c r="E29" s="0" t="n">
        <f aca="false">(1-D29)^constant!$B$1</f>
        <v>0.99994698454422</v>
      </c>
      <c r="F29" s="0" t="n">
        <f aca="false">IF(A29=0,1,F28*E29)</f>
        <v>0.998614033793728</v>
      </c>
      <c r="G29" s="5" t="b">
        <f aca="false">B29&gt;=calc_cohort!C$2</f>
        <v>0</v>
      </c>
      <c r="H29" s="0" t="n">
        <f aca="false">IF(G29,1,0)</f>
        <v>0</v>
      </c>
      <c r="I29" s="0" t="n">
        <f aca="false">calc_cohort!$B$2*constant!$B$1*F29*H29</f>
        <v>0</v>
      </c>
      <c r="J29" s="0" t="n">
        <f aca="false">INDEX(table_spot_rate!B$1:B$2000,MATCH(A29,table_spot_rate!A$1:A$2000,0))</f>
        <v>0.0521630855843811</v>
      </c>
      <c r="K29" s="0" t="n">
        <f aca="false">(1+J29)^(-A29*constant!$B$1)</f>
        <v>0.891893734794132</v>
      </c>
      <c r="L29" s="0" t="n">
        <f aca="false">K29*I29</f>
        <v>0</v>
      </c>
    </row>
    <row r="30" customFormat="false" ht="12.8" hidden="false" customHeight="false" outlineLevel="0" collapsed="false">
      <c r="A30" s="0" t="n">
        <v>28</v>
      </c>
      <c r="B30" s="0" t="n">
        <f aca="false">calc_cohort!D$2+constant!$B$1*A30</f>
        <v>33.5333333333333</v>
      </c>
      <c r="C30" s="0" t="n">
        <f aca="false">_xlfn.FLOOR.MATH(B30)</f>
        <v>33</v>
      </c>
      <c r="D30" s="4" t="n">
        <f aca="false">INDEX(table_mortality_rate!$A$1:$C$2000,MATCH(C30,table_mortality_rate!$A$1:$A$2000,0),MATCH(calc_cohort!$E$2,table_mortality_rate!A$1:C$1,0))</f>
        <v>0.000636</v>
      </c>
      <c r="E30" s="0" t="n">
        <f aca="false">(1-D30)^constant!$B$1</f>
        <v>0.99994698454422</v>
      </c>
      <c r="F30" s="0" t="n">
        <f aca="false">IF(A30=0,1,F29*E30)</f>
        <v>0.998561091815577</v>
      </c>
      <c r="G30" s="5" t="b">
        <f aca="false">B30&gt;=calc_cohort!C$2</f>
        <v>0</v>
      </c>
      <c r="H30" s="0" t="n">
        <f aca="false">IF(G30,1,0)</f>
        <v>0</v>
      </c>
      <c r="I30" s="0" t="n">
        <f aca="false">calc_cohort!$B$2*constant!$B$1*F30*H30</f>
        <v>0</v>
      </c>
      <c r="J30" s="0" t="n">
        <f aca="false">INDEX(table_spot_rate!B$1:B$2000,MATCH(A30,table_spot_rate!A$1:A$2000,0))</f>
        <v>0.0501367352603639</v>
      </c>
      <c r="K30" s="0" t="n">
        <f aca="false">(1+J30)^(-A30*constant!$B$1)</f>
        <v>0.89212631048298</v>
      </c>
      <c r="L30" s="0" t="n">
        <f aca="false">K30*I30</f>
        <v>0</v>
      </c>
    </row>
    <row r="31" customFormat="false" ht="12.8" hidden="false" customHeight="false" outlineLevel="0" collapsed="false">
      <c r="A31" s="0" t="n">
        <v>29</v>
      </c>
      <c r="B31" s="0" t="n">
        <f aca="false">calc_cohort!D$2+constant!$B$1*A31</f>
        <v>33.6166666666667</v>
      </c>
      <c r="C31" s="0" t="n">
        <f aca="false">_xlfn.FLOOR.MATH(B31)</f>
        <v>33</v>
      </c>
      <c r="D31" s="4" t="n">
        <f aca="false">INDEX(table_mortality_rate!$A$1:$C$2000,MATCH(C31,table_mortality_rate!$A$1:$A$2000,0),MATCH(calc_cohort!$E$2,table_mortality_rate!A$1:C$1,0))</f>
        <v>0.000636</v>
      </c>
      <c r="E31" s="0" t="n">
        <f aca="false">(1-D31)^constant!$B$1</f>
        <v>0.99994698454422</v>
      </c>
      <c r="F31" s="0" t="n">
        <f aca="false">IF(A31=0,1,F30*E31)</f>
        <v>0.99850815264417</v>
      </c>
      <c r="G31" s="5" t="b">
        <f aca="false">B31&gt;=calc_cohort!C$2</f>
        <v>0</v>
      </c>
      <c r="H31" s="0" t="n">
        <f aca="false">IF(G31,1,0)</f>
        <v>0</v>
      </c>
      <c r="I31" s="0" t="n">
        <f aca="false">calc_cohort!$B$2*constant!$B$1*F31*H31</f>
        <v>0</v>
      </c>
      <c r="J31" s="0" t="n">
        <f aca="false">INDEX(table_spot_rate!B$1:B$2000,MATCH(A31,table_spot_rate!A$1:A$2000,0))</f>
        <v>0.057109485837176</v>
      </c>
      <c r="K31" s="0" t="n">
        <f aca="false">(1+J31)^(-A31*constant!$B$1)</f>
        <v>0.874399846432499</v>
      </c>
      <c r="L31" s="0" t="n">
        <f aca="false">K31*I31</f>
        <v>0</v>
      </c>
    </row>
    <row r="32" customFormat="false" ht="12.8" hidden="false" customHeight="false" outlineLevel="0" collapsed="false">
      <c r="A32" s="0" t="n">
        <v>30</v>
      </c>
      <c r="B32" s="0" t="n">
        <f aca="false">calc_cohort!D$2+constant!$B$1*A32</f>
        <v>33.7</v>
      </c>
      <c r="C32" s="0" t="n">
        <f aca="false">_xlfn.FLOOR.MATH(B32)</f>
        <v>33</v>
      </c>
      <c r="D32" s="4" t="n">
        <f aca="false">INDEX(table_mortality_rate!$A$1:$C$2000,MATCH(C32,table_mortality_rate!$A$1:$A$2000,0),MATCH(calc_cohort!$E$2,table_mortality_rate!A$1:C$1,0))</f>
        <v>0.000636</v>
      </c>
      <c r="E32" s="0" t="n">
        <f aca="false">(1-D32)^constant!$B$1</f>
        <v>0.99994698454422</v>
      </c>
      <c r="F32" s="0" t="n">
        <f aca="false">IF(A32=0,1,F31*E32)</f>
        <v>0.998455216279357</v>
      </c>
      <c r="G32" s="5" t="b">
        <f aca="false">B32&gt;=calc_cohort!C$2</f>
        <v>0</v>
      </c>
      <c r="H32" s="0" t="n">
        <f aca="false">IF(G32,1,0)</f>
        <v>0</v>
      </c>
      <c r="I32" s="0" t="n">
        <f aca="false">calc_cohort!$B$2*constant!$B$1*F32*H32</f>
        <v>0</v>
      </c>
      <c r="J32" s="0" t="n">
        <f aca="false">INDEX(table_spot_rate!B$1:B$2000,MATCH(A32,table_spot_rate!A$1:A$2000,0))</f>
        <v>0.0579791418474952</v>
      </c>
      <c r="K32" s="0" t="n">
        <f aca="false">(1+J32)^(-A32*constant!$B$1)</f>
        <v>0.868574821845675</v>
      </c>
      <c r="L32" s="0" t="n">
        <f aca="false">K32*I32</f>
        <v>0</v>
      </c>
    </row>
    <row r="33" customFormat="false" ht="12.8" hidden="false" customHeight="false" outlineLevel="0" collapsed="false">
      <c r="A33" s="0" t="n">
        <v>31</v>
      </c>
      <c r="B33" s="0" t="n">
        <f aca="false">calc_cohort!D$2+constant!$B$1*A33</f>
        <v>33.7833333333333</v>
      </c>
      <c r="C33" s="0" t="n">
        <f aca="false">_xlfn.FLOOR.MATH(B33)</f>
        <v>33</v>
      </c>
      <c r="D33" s="4" t="n">
        <f aca="false">INDEX(table_mortality_rate!$A$1:$C$2000,MATCH(C33,table_mortality_rate!$A$1:$A$2000,0),MATCH(calc_cohort!$E$2,table_mortality_rate!A$1:C$1,0))</f>
        <v>0.000636</v>
      </c>
      <c r="E33" s="0" t="n">
        <f aca="false">(1-D33)^constant!$B$1</f>
        <v>0.99994698454422</v>
      </c>
      <c r="F33" s="0" t="n">
        <f aca="false">IF(A33=0,1,F32*E33)</f>
        <v>0.99840228272099</v>
      </c>
      <c r="G33" s="5" t="b">
        <f aca="false">B33&gt;=calc_cohort!C$2</f>
        <v>0</v>
      </c>
      <c r="H33" s="0" t="n">
        <f aca="false">IF(G33,1,0)</f>
        <v>0</v>
      </c>
      <c r="I33" s="0" t="n">
        <f aca="false">calc_cohort!$B$2*constant!$B$1*F33*H33</f>
        <v>0</v>
      </c>
      <c r="J33" s="0" t="n">
        <f aca="false">INDEX(table_spot_rate!B$1:B$2000,MATCH(A33,table_spot_rate!A$1:A$2000,0))</f>
        <v>0.052907933013956</v>
      </c>
      <c r="K33" s="0" t="n">
        <f aca="false">(1+J33)^(-A33*constant!$B$1)</f>
        <v>0.875302439596212</v>
      </c>
      <c r="L33" s="0" t="n">
        <f aca="false">K33*I33</f>
        <v>0</v>
      </c>
    </row>
    <row r="34" customFormat="false" ht="12.8" hidden="false" customHeight="false" outlineLevel="0" collapsed="false">
      <c r="A34" s="0" t="n">
        <v>32</v>
      </c>
      <c r="B34" s="0" t="n">
        <f aca="false">calc_cohort!D$2+constant!$B$1*A34</f>
        <v>33.8666666666667</v>
      </c>
      <c r="C34" s="0" t="n">
        <f aca="false">_xlfn.FLOOR.MATH(B34)</f>
        <v>33</v>
      </c>
      <c r="D34" s="4" t="n">
        <f aca="false">INDEX(table_mortality_rate!$A$1:$C$2000,MATCH(C34,table_mortality_rate!$A$1:$A$2000,0),MATCH(calc_cohort!$E$2,table_mortality_rate!A$1:C$1,0))</f>
        <v>0.000636</v>
      </c>
      <c r="E34" s="0" t="n">
        <f aca="false">(1-D34)^constant!$B$1</f>
        <v>0.99994698454422</v>
      </c>
      <c r="F34" s="0" t="n">
        <f aca="false">IF(A34=0,1,F33*E34)</f>
        <v>0.998349351968919</v>
      </c>
      <c r="G34" s="5" t="b">
        <f aca="false">B34&gt;=calc_cohort!C$2</f>
        <v>0</v>
      </c>
      <c r="H34" s="0" t="n">
        <f aca="false">IF(G34,1,0)</f>
        <v>0</v>
      </c>
      <c r="I34" s="0" t="n">
        <f aca="false">calc_cohort!$B$2*constant!$B$1*F34*H34</f>
        <v>0</v>
      </c>
      <c r="J34" s="0" t="n">
        <f aca="false">INDEX(table_spot_rate!B$1:B$2000,MATCH(A34,table_spot_rate!A$1:A$2000,0))</f>
        <v>0.0504214242625149</v>
      </c>
      <c r="K34" s="0" t="n">
        <f aca="false">(1+J34)^(-A34*constant!$B$1)</f>
        <v>0.877062368355437</v>
      </c>
      <c r="L34" s="0" t="n">
        <f aca="false">K34*I34</f>
        <v>0</v>
      </c>
    </row>
    <row r="35" customFormat="false" ht="12.8" hidden="false" customHeight="false" outlineLevel="0" collapsed="false">
      <c r="A35" s="0" t="n">
        <v>33</v>
      </c>
      <c r="B35" s="0" t="n">
        <f aca="false">calc_cohort!D$2+constant!$B$1*A35</f>
        <v>33.95</v>
      </c>
      <c r="C35" s="0" t="n">
        <f aca="false">_xlfn.FLOOR.MATH(B35)</f>
        <v>33</v>
      </c>
      <c r="D35" s="4" t="n">
        <f aca="false">INDEX(table_mortality_rate!$A$1:$C$2000,MATCH(C35,table_mortality_rate!$A$1:$A$2000,0),MATCH(calc_cohort!$E$2,table_mortality_rate!A$1:C$1,0))</f>
        <v>0.000636</v>
      </c>
      <c r="E35" s="0" t="n">
        <f aca="false">(1-D35)^constant!$B$1</f>
        <v>0.99994698454422</v>
      </c>
      <c r="F35" s="0" t="n">
        <f aca="false">IF(A35=0,1,F34*E35)</f>
        <v>0.998296424022996</v>
      </c>
      <c r="G35" s="5" t="b">
        <f aca="false">B35&gt;=calc_cohort!C$2</f>
        <v>0</v>
      </c>
      <c r="H35" s="0" t="n">
        <f aca="false">IF(G35,1,0)</f>
        <v>0</v>
      </c>
      <c r="I35" s="0" t="n">
        <f aca="false">calc_cohort!$B$2*constant!$B$1*F35*H35</f>
        <v>0</v>
      </c>
      <c r="J35" s="0" t="n">
        <f aca="false">INDEX(table_spot_rate!B$1:B$2000,MATCH(A35,table_spot_rate!A$1:A$2000,0))</f>
        <v>0.0529691234913097</v>
      </c>
      <c r="K35" s="0" t="n">
        <f aca="false">(1+J35)^(-A35*constant!$B$1)</f>
        <v>0.867674830864039</v>
      </c>
      <c r="L35" s="0" t="n">
        <f aca="false">K35*I35</f>
        <v>0</v>
      </c>
    </row>
    <row r="36" customFormat="false" ht="12.8" hidden="false" customHeight="false" outlineLevel="0" collapsed="false">
      <c r="A36" s="0" t="n">
        <v>34</v>
      </c>
      <c r="B36" s="0" t="n">
        <f aca="false">calc_cohort!D$2+constant!$B$1*A36</f>
        <v>34.0333333333333</v>
      </c>
      <c r="C36" s="0" t="n">
        <f aca="false">_xlfn.FLOOR.MATH(B36)</f>
        <v>34</v>
      </c>
      <c r="D36" s="4" t="n">
        <f aca="false">INDEX(table_mortality_rate!$A$1:$C$2000,MATCH(C36,table_mortality_rate!$A$1:$A$2000,0),MATCH(calc_cohort!$E$2,table_mortality_rate!A$1:C$1,0))</f>
        <v>0.00066</v>
      </c>
      <c r="E36" s="0" t="n">
        <f aca="false">(1-D36)^constant!$B$1</f>
        <v>0.999944983355481</v>
      </c>
      <c r="F36" s="0" t="n">
        <f aca="false">IF(A36=0,1,F35*E36)</f>
        <v>0.998241501103511</v>
      </c>
      <c r="G36" s="5" t="b">
        <f aca="false">B36&gt;=calc_cohort!C$2</f>
        <v>0</v>
      </c>
      <c r="H36" s="0" t="n">
        <f aca="false">IF(G36,1,0)</f>
        <v>0</v>
      </c>
      <c r="I36" s="0" t="n">
        <f aca="false">calc_cohort!$B$2*constant!$B$1*F36*H36</f>
        <v>0</v>
      </c>
      <c r="J36" s="0" t="n">
        <f aca="false">INDEX(table_spot_rate!B$1:B$2000,MATCH(A36,table_spot_rate!A$1:A$2000,0))</f>
        <v>0.0513899981078689</v>
      </c>
      <c r="K36" s="0" t="n">
        <f aca="false">(1+J36)^(-A36*constant!$B$1)</f>
        <v>0.867632443187107</v>
      </c>
      <c r="L36" s="0" t="n">
        <f aca="false">K36*I36</f>
        <v>0</v>
      </c>
    </row>
    <row r="37" customFormat="false" ht="12.8" hidden="false" customHeight="false" outlineLevel="0" collapsed="false">
      <c r="A37" s="0" t="n">
        <v>35</v>
      </c>
      <c r="B37" s="0" t="n">
        <f aca="false">calc_cohort!D$2+constant!$B$1*A37</f>
        <v>34.1166666666667</v>
      </c>
      <c r="C37" s="0" t="n">
        <f aca="false">_xlfn.FLOOR.MATH(B37)</f>
        <v>34</v>
      </c>
      <c r="D37" s="4" t="n">
        <f aca="false">INDEX(table_mortality_rate!$A$1:$C$2000,MATCH(C37,table_mortality_rate!$A$1:$A$2000,0),MATCH(calc_cohort!$E$2,table_mortality_rate!A$1:C$1,0))</f>
        <v>0.00066</v>
      </c>
      <c r="E37" s="0" t="n">
        <f aca="false">(1-D37)^constant!$B$1</f>
        <v>0.999944983355481</v>
      </c>
      <c r="F37" s="0" t="n">
        <f aca="false">IF(A37=0,1,F36*E37)</f>
        <v>0.998186581205701</v>
      </c>
      <c r="G37" s="5" t="b">
        <f aca="false">B37&gt;=calc_cohort!C$2</f>
        <v>0</v>
      </c>
      <c r="H37" s="0" t="n">
        <f aca="false">IF(G37,1,0)</f>
        <v>0</v>
      </c>
      <c r="I37" s="0" t="n">
        <f aca="false">calc_cohort!$B$2*constant!$B$1*F37*H37</f>
        <v>0</v>
      </c>
      <c r="J37" s="0" t="n">
        <f aca="false">INDEX(table_spot_rate!B$1:B$2000,MATCH(A37,table_spot_rate!A$1:A$2000,0))</f>
        <v>0.0522353564847554</v>
      </c>
      <c r="K37" s="0" t="n">
        <f aca="false">(1+J37)^(-A37*constant!$B$1)</f>
        <v>0.861993655219016</v>
      </c>
      <c r="L37" s="0" t="n">
        <f aca="false">K37*I37</f>
        <v>0</v>
      </c>
    </row>
    <row r="38" customFormat="false" ht="12.8" hidden="false" customHeight="false" outlineLevel="0" collapsed="false">
      <c r="A38" s="0" t="n">
        <v>36</v>
      </c>
      <c r="B38" s="0" t="n">
        <f aca="false">calc_cohort!D$2+constant!$B$1*A38</f>
        <v>34.2</v>
      </c>
      <c r="C38" s="0" t="n">
        <f aca="false">_xlfn.FLOOR.MATH(B38)</f>
        <v>34</v>
      </c>
      <c r="D38" s="4" t="n">
        <f aca="false">INDEX(table_mortality_rate!$A$1:$C$2000,MATCH(C38,table_mortality_rate!$A$1:$A$2000,0),MATCH(calc_cohort!$E$2,table_mortality_rate!A$1:C$1,0))</f>
        <v>0.00066</v>
      </c>
      <c r="E38" s="0" t="n">
        <f aca="false">(1-D38)^constant!$B$1</f>
        <v>0.999944983355481</v>
      </c>
      <c r="F38" s="0" t="n">
        <f aca="false">IF(A38=0,1,F37*E38)</f>
        <v>0.998131664329399</v>
      </c>
      <c r="G38" s="5" t="b">
        <f aca="false">B38&gt;=calc_cohort!C$2</f>
        <v>0</v>
      </c>
      <c r="H38" s="0" t="n">
        <f aca="false">IF(G38,1,0)</f>
        <v>0</v>
      </c>
      <c r="I38" s="0" t="n">
        <f aca="false">calc_cohort!$B$2*constant!$B$1*F38*H38</f>
        <v>0</v>
      </c>
      <c r="J38" s="0" t="n">
        <f aca="false">INDEX(table_spot_rate!B$1:B$2000,MATCH(A38,table_spot_rate!A$1:A$2000,0))</f>
        <v>0.05664226415059</v>
      </c>
      <c r="K38" s="0" t="n">
        <f aca="false">(1+J38)^(-A38*constant!$B$1)</f>
        <v>0.847649024326866</v>
      </c>
      <c r="L38" s="0" t="n">
        <f aca="false">K38*I38</f>
        <v>0</v>
      </c>
    </row>
    <row r="39" customFormat="false" ht="12.8" hidden="false" customHeight="false" outlineLevel="0" collapsed="false">
      <c r="A39" s="0" t="n">
        <v>37</v>
      </c>
      <c r="B39" s="0" t="n">
        <f aca="false">calc_cohort!D$2+constant!$B$1*A39</f>
        <v>34.2833333333333</v>
      </c>
      <c r="C39" s="0" t="n">
        <f aca="false">_xlfn.FLOOR.MATH(B39)</f>
        <v>34</v>
      </c>
      <c r="D39" s="4" t="n">
        <f aca="false">INDEX(table_mortality_rate!$A$1:$C$2000,MATCH(C39,table_mortality_rate!$A$1:$A$2000,0),MATCH(calc_cohort!$E$2,table_mortality_rate!A$1:C$1,0))</f>
        <v>0.00066</v>
      </c>
      <c r="E39" s="0" t="n">
        <f aca="false">(1-D39)^constant!$B$1</f>
        <v>0.999944983355481</v>
      </c>
      <c r="F39" s="0" t="n">
        <f aca="false">IF(A39=0,1,F38*E39)</f>
        <v>0.99807675047444</v>
      </c>
      <c r="G39" s="5" t="b">
        <f aca="false">B39&gt;=calc_cohort!C$2</f>
        <v>0</v>
      </c>
      <c r="H39" s="0" t="n">
        <f aca="false">IF(G39,1,0)</f>
        <v>0</v>
      </c>
      <c r="I39" s="0" t="n">
        <f aca="false">calc_cohort!$B$2*constant!$B$1*F39*H39</f>
        <v>0</v>
      </c>
      <c r="J39" s="0" t="n">
        <f aca="false">INDEX(table_spot_rate!B$1:B$2000,MATCH(A39,table_spot_rate!A$1:A$2000,0))</f>
        <v>0.0564939736598397</v>
      </c>
      <c r="K39" s="0" t="n">
        <f aca="false">(1+J39)^(-A39*constant!$B$1)</f>
        <v>0.84413130951731</v>
      </c>
      <c r="L39" s="0" t="n">
        <f aca="false">K39*I39</f>
        <v>0</v>
      </c>
    </row>
    <row r="40" customFormat="false" ht="12.8" hidden="false" customHeight="false" outlineLevel="0" collapsed="false">
      <c r="A40" s="0" t="n">
        <v>38</v>
      </c>
      <c r="B40" s="0" t="n">
        <f aca="false">calc_cohort!D$2+constant!$B$1*A40</f>
        <v>34.3666666666667</v>
      </c>
      <c r="C40" s="0" t="n">
        <f aca="false">_xlfn.FLOOR.MATH(B40)</f>
        <v>34</v>
      </c>
      <c r="D40" s="4" t="n">
        <f aca="false">INDEX(table_mortality_rate!$A$1:$C$2000,MATCH(C40,table_mortality_rate!$A$1:$A$2000,0),MATCH(calc_cohort!$E$2,table_mortality_rate!A$1:C$1,0))</f>
        <v>0.00066</v>
      </c>
      <c r="E40" s="0" t="n">
        <f aca="false">(1-D40)^constant!$B$1</f>
        <v>0.999944983355481</v>
      </c>
      <c r="F40" s="0" t="n">
        <f aca="false">IF(A40=0,1,F39*E40)</f>
        <v>0.998021839640656</v>
      </c>
      <c r="G40" s="5" t="b">
        <f aca="false">B40&gt;=calc_cohort!C$2</f>
        <v>0</v>
      </c>
      <c r="H40" s="0" t="n">
        <f aca="false">IF(G40,1,0)</f>
        <v>0</v>
      </c>
      <c r="I40" s="0" t="n">
        <f aca="false">calc_cohort!$B$2*constant!$B$1*F40*H40</f>
        <v>0</v>
      </c>
      <c r="J40" s="0" t="n">
        <f aca="false">INDEX(table_spot_rate!B$1:B$2000,MATCH(A40,table_spot_rate!A$1:A$2000,0))</f>
        <v>0.0592160019966261</v>
      </c>
      <c r="K40" s="0" t="n">
        <f aca="false">(1+J40)^(-A40*constant!$B$1)</f>
        <v>0.833455297846752</v>
      </c>
      <c r="L40" s="0" t="n">
        <f aca="false">K40*I40</f>
        <v>0</v>
      </c>
    </row>
    <row r="41" customFormat="false" ht="12.8" hidden="false" customHeight="false" outlineLevel="0" collapsed="false">
      <c r="A41" s="0" t="n">
        <v>39</v>
      </c>
      <c r="B41" s="0" t="n">
        <f aca="false">calc_cohort!D$2+constant!$B$1*A41</f>
        <v>34.45</v>
      </c>
      <c r="C41" s="0" t="n">
        <f aca="false">_xlfn.FLOOR.MATH(B41)</f>
        <v>34</v>
      </c>
      <c r="D41" s="4" t="n">
        <f aca="false">INDEX(table_mortality_rate!$A$1:$C$2000,MATCH(C41,table_mortality_rate!$A$1:$A$2000,0),MATCH(calc_cohort!$E$2,table_mortality_rate!A$1:C$1,0))</f>
        <v>0.00066</v>
      </c>
      <c r="E41" s="0" t="n">
        <f aca="false">(1-D41)^constant!$B$1</f>
        <v>0.999944983355481</v>
      </c>
      <c r="F41" s="0" t="n">
        <f aca="false">IF(A41=0,1,F40*E41)</f>
        <v>0.997966931827883</v>
      </c>
      <c r="G41" s="5" t="b">
        <f aca="false">B41&gt;=calc_cohort!C$2</f>
        <v>0</v>
      </c>
      <c r="H41" s="0" t="n">
        <f aca="false">IF(G41,1,0)</f>
        <v>0</v>
      </c>
      <c r="I41" s="0" t="n">
        <f aca="false">calc_cohort!$B$2*constant!$B$1*F41*H41</f>
        <v>0</v>
      </c>
      <c r="J41" s="0" t="n">
        <f aca="false">INDEX(table_spot_rate!B$1:B$2000,MATCH(A41,table_spot_rate!A$1:A$2000,0))</f>
        <v>0.0587643060153657</v>
      </c>
      <c r="K41" s="0" t="n">
        <f aca="false">(1+J41)^(-A41*constant!$B$1)</f>
        <v>0.830619843947774</v>
      </c>
      <c r="L41" s="0" t="n">
        <f aca="false">K41*I41</f>
        <v>0</v>
      </c>
    </row>
    <row r="42" customFormat="false" ht="12.8" hidden="false" customHeight="false" outlineLevel="0" collapsed="false">
      <c r="A42" s="0" t="n">
        <v>40</v>
      </c>
      <c r="B42" s="0" t="n">
        <f aca="false">calc_cohort!D$2+constant!$B$1*A42</f>
        <v>34.5333333333333</v>
      </c>
      <c r="C42" s="0" t="n">
        <f aca="false">_xlfn.FLOOR.MATH(B42)</f>
        <v>34</v>
      </c>
      <c r="D42" s="4" t="n">
        <f aca="false">INDEX(table_mortality_rate!$A$1:$C$2000,MATCH(C42,table_mortality_rate!$A$1:$A$2000,0),MATCH(calc_cohort!$E$2,table_mortality_rate!A$1:C$1,0))</f>
        <v>0.00066</v>
      </c>
      <c r="E42" s="0" t="n">
        <f aca="false">(1-D42)^constant!$B$1</f>
        <v>0.999944983355481</v>
      </c>
      <c r="F42" s="0" t="n">
        <f aca="false">IF(A42=0,1,F41*E42)</f>
        <v>0.997912027035953</v>
      </c>
      <c r="G42" s="5" t="b">
        <f aca="false">B42&gt;=calc_cohort!C$2</f>
        <v>0</v>
      </c>
      <c r="H42" s="0" t="n">
        <f aca="false">IF(G42,1,0)</f>
        <v>0</v>
      </c>
      <c r="I42" s="0" t="n">
        <f aca="false">calc_cohort!$B$2*constant!$B$1*F42*H42</f>
        <v>0</v>
      </c>
      <c r="J42" s="0" t="n">
        <f aca="false">INDEX(table_spot_rate!B$1:B$2000,MATCH(A42,table_spot_rate!A$1:A$2000,0))</f>
        <v>0.0582275560237142</v>
      </c>
      <c r="K42" s="0" t="n">
        <f aca="false">(1+J42)^(-A42*constant!$B$1)</f>
        <v>0.828075201717302</v>
      </c>
      <c r="L42" s="0" t="n">
        <f aca="false">K42*I42</f>
        <v>0</v>
      </c>
    </row>
    <row r="43" customFormat="false" ht="12.8" hidden="false" customHeight="false" outlineLevel="0" collapsed="false">
      <c r="A43" s="0" t="n">
        <v>41</v>
      </c>
      <c r="B43" s="0" t="n">
        <f aca="false">calc_cohort!D$2+constant!$B$1*A43</f>
        <v>34.6166666666667</v>
      </c>
      <c r="C43" s="0" t="n">
        <f aca="false">_xlfn.FLOOR.MATH(B43)</f>
        <v>34</v>
      </c>
      <c r="D43" s="4" t="n">
        <f aca="false">INDEX(table_mortality_rate!$A$1:$C$2000,MATCH(C43,table_mortality_rate!$A$1:$A$2000,0),MATCH(calc_cohort!$E$2,table_mortality_rate!A$1:C$1,0))</f>
        <v>0.00066</v>
      </c>
      <c r="E43" s="0" t="n">
        <f aca="false">(1-D43)^constant!$B$1</f>
        <v>0.999944983355481</v>
      </c>
      <c r="F43" s="0" t="n">
        <f aca="false">IF(A43=0,1,F42*E43)</f>
        <v>0.9978571252647</v>
      </c>
      <c r="G43" s="5" t="b">
        <f aca="false">B43&gt;=calc_cohort!C$2</f>
        <v>0</v>
      </c>
      <c r="H43" s="0" t="n">
        <f aca="false">IF(G43,1,0)</f>
        <v>0</v>
      </c>
      <c r="I43" s="0" t="n">
        <f aca="false">calc_cohort!$B$2*constant!$B$1*F43*H43</f>
        <v>0</v>
      </c>
      <c r="J43" s="0" t="n">
        <f aca="false">INDEX(table_spot_rate!B$1:B$2000,MATCH(A43,table_spot_rate!A$1:A$2000,0))</f>
        <v>0.0538057602753576</v>
      </c>
      <c r="K43" s="0" t="n">
        <f aca="false">(1+J43)^(-A43*constant!$B$1)</f>
        <v>0.836054763061507</v>
      </c>
      <c r="L43" s="0" t="n">
        <f aca="false">K43*I43</f>
        <v>0</v>
      </c>
    </row>
    <row r="44" customFormat="false" ht="12.8" hidden="false" customHeight="false" outlineLevel="0" collapsed="false">
      <c r="A44" s="0" t="n">
        <v>42</v>
      </c>
      <c r="B44" s="0" t="n">
        <f aca="false">calc_cohort!D$2+constant!$B$1*A44</f>
        <v>34.7</v>
      </c>
      <c r="C44" s="0" t="n">
        <f aca="false">_xlfn.FLOOR.MATH(B44)</f>
        <v>34</v>
      </c>
      <c r="D44" s="4" t="n">
        <f aca="false">INDEX(table_mortality_rate!$A$1:$C$2000,MATCH(C44,table_mortality_rate!$A$1:$A$2000,0),MATCH(calc_cohort!$E$2,table_mortality_rate!A$1:C$1,0))</f>
        <v>0.00066</v>
      </c>
      <c r="E44" s="0" t="n">
        <f aca="false">(1-D44)^constant!$B$1</f>
        <v>0.999944983355481</v>
      </c>
      <c r="F44" s="0" t="n">
        <f aca="false">IF(A44=0,1,F43*E44)</f>
        <v>0.997802226513959</v>
      </c>
      <c r="G44" s="5" t="b">
        <f aca="false">B44&gt;=calc_cohort!C$2</f>
        <v>0</v>
      </c>
      <c r="H44" s="0" t="n">
        <f aca="false">IF(G44,1,0)</f>
        <v>0</v>
      </c>
      <c r="I44" s="0" t="n">
        <f aca="false">calc_cohort!$B$2*constant!$B$1*F44*H44</f>
        <v>0</v>
      </c>
      <c r="J44" s="0" t="n">
        <f aca="false">INDEX(table_spot_rate!B$1:B$2000,MATCH(A44,table_spot_rate!A$1:A$2000,0))</f>
        <v>0.0590672973945049</v>
      </c>
      <c r="K44" s="0" t="n">
        <f aca="false">(1+J44)^(-A44*constant!$B$1)</f>
        <v>0.818026829263025</v>
      </c>
      <c r="L44" s="0" t="n">
        <f aca="false">K44*I44</f>
        <v>0</v>
      </c>
    </row>
    <row r="45" customFormat="false" ht="12.8" hidden="false" customHeight="false" outlineLevel="0" collapsed="false">
      <c r="A45" s="0" t="n">
        <v>43</v>
      </c>
      <c r="B45" s="0" t="n">
        <f aca="false">calc_cohort!D$2+constant!$B$1*A45</f>
        <v>34.7833333333333</v>
      </c>
      <c r="C45" s="0" t="n">
        <f aca="false">_xlfn.FLOOR.MATH(B45)</f>
        <v>34</v>
      </c>
      <c r="D45" s="4" t="n">
        <f aca="false">INDEX(table_mortality_rate!$A$1:$C$2000,MATCH(C45,table_mortality_rate!$A$1:$A$2000,0),MATCH(calc_cohort!$E$2,table_mortality_rate!A$1:C$1,0))</f>
        <v>0.00066</v>
      </c>
      <c r="E45" s="0" t="n">
        <f aca="false">(1-D45)^constant!$B$1</f>
        <v>0.999944983355481</v>
      </c>
      <c r="F45" s="0" t="n">
        <f aca="false">IF(A45=0,1,F44*E45)</f>
        <v>0.997747330783562</v>
      </c>
      <c r="G45" s="5" t="b">
        <f aca="false">B45&gt;=calc_cohort!C$2</f>
        <v>0</v>
      </c>
      <c r="H45" s="0" t="n">
        <f aca="false">IF(G45,1,0)</f>
        <v>0</v>
      </c>
      <c r="I45" s="0" t="n">
        <f aca="false">calc_cohort!$B$2*constant!$B$1*F45*H45</f>
        <v>0</v>
      </c>
      <c r="J45" s="0" t="n">
        <f aca="false">INDEX(table_spot_rate!B$1:B$2000,MATCH(A45,table_spot_rate!A$1:A$2000,0))</f>
        <v>0.050431110143225</v>
      </c>
      <c r="K45" s="0" t="n">
        <f aca="false">(1+J45)^(-A45*constant!$B$1)</f>
        <v>0.838364449959122</v>
      </c>
      <c r="L45" s="0" t="n">
        <f aca="false">K45*I45</f>
        <v>0</v>
      </c>
    </row>
    <row r="46" customFormat="false" ht="12.8" hidden="false" customHeight="false" outlineLevel="0" collapsed="false">
      <c r="A46" s="0" t="n">
        <v>44</v>
      </c>
      <c r="B46" s="0" t="n">
        <f aca="false">calc_cohort!D$2+constant!$B$1*A46</f>
        <v>34.8666666666667</v>
      </c>
      <c r="C46" s="0" t="n">
        <f aca="false">_xlfn.FLOOR.MATH(B46)</f>
        <v>34</v>
      </c>
      <c r="D46" s="4" t="n">
        <f aca="false">INDEX(table_mortality_rate!$A$1:$C$2000,MATCH(C46,table_mortality_rate!$A$1:$A$2000,0),MATCH(calc_cohort!$E$2,table_mortality_rate!A$1:C$1,0))</f>
        <v>0.00066</v>
      </c>
      <c r="E46" s="0" t="n">
        <f aca="false">(1-D46)^constant!$B$1</f>
        <v>0.999944983355481</v>
      </c>
      <c r="F46" s="0" t="n">
        <f aca="false">IF(A46=0,1,F45*E46)</f>
        <v>0.997692438073345</v>
      </c>
      <c r="G46" s="5" t="b">
        <f aca="false">B46&gt;=calc_cohort!C$2</f>
        <v>0</v>
      </c>
      <c r="H46" s="0" t="n">
        <f aca="false">IF(G46,1,0)</f>
        <v>0</v>
      </c>
      <c r="I46" s="0" t="n">
        <f aca="false">calc_cohort!$B$2*constant!$B$1*F46*H46</f>
        <v>0</v>
      </c>
      <c r="J46" s="0" t="n">
        <f aca="false">INDEX(table_spot_rate!B$1:B$2000,MATCH(A46,table_spot_rate!A$1:A$2000,0))</f>
        <v>0.0597039151261724</v>
      </c>
      <c r="K46" s="0" t="n">
        <f aca="false">(1+J46)^(-A46*constant!$B$1)</f>
        <v>0.808456562783645</v>
      </c>
      <c r="L46" s="0" t="n">
        <f aca="false">K46*I46</f>
        <v>0</v>
      </c>
    </row>
    <row r="47" customFormat="false" ht="12.8" hidden="false" customHeight="false" outlineLevel="0" collapsed="false">
      <c r="A47" s="0" t="n">
        <v>45</v>
      </c>
      <c r="B47" s="0" t="n">
        <f aca="false">calc_cohort!D$2+constant!$B$1*A47</f>
        <v>34.95</v>
      </c>
      <c r="C47" s="0" t="n">
        <f aca="false">_xlfn.FLOOR.MATH(B47)</f>
        <v>34</v>
      </c>
      <c r="D47" s="4" t="n">
        <f aca="false">INDEX(table_mortality_rate!$A$1:$C$2000,MATCH(C47,table_mortality_rate!$A$1:$A$2000,0),MATCH(calc_cohort!$E$2,table_mortality_rate!A$1:C$1,0))</f>
        <v>0.00066</v>
      </c>
      <c r="E47" s="0" t="n">
        <f aca="false">(1-D47)^constant!$B$1</f>
        <v>0.999944983355481</v>
      </c>
      <c r="F47" s="0" t="n">
        <f aca="false">IF(A47=0,1,F46*E47)</f>
        <v>0.99763754838314</v>
      </c>
      <c r="G47" s="5" t="b">
        <f aca="false">B47&gt;=calc_cohort!C$2</f>
        <v>0</v>
      </c>
      <c r="H47" s="0" t="n">
        <f aca="false">IF(G47,1,0)</f>
        <v>0</v>
      </c>
      <c r="I47" s="0" t="n">
        <f aca="false">calc_cohort!$B$2*constant!$B$1*F47*H47</f>
        <v>0</v>
      </c>
      <c r="J47" s="0" t="n">
        <f aca="false">INDEX(table_spot_rate!B$1:B$2000,MATCH(A47,table_spot_rate!A$1:A$2000,0))</f>
        <v>0.0597297272394963</v>
      </c>
      <c r="K47" s="0" t="n">
        <f aca="false">(1+J47)^(-A47*constant!$B$1)</f>
        <v>0.804485666058902</v>
      </c>
      <c r="L47" s="0" t="n">
        <f aca="false">K47*I47</f>
        <v>0</v>
      </c>
    </row>
    <row r="48" customFormat="false" ht="12.8" hidden="false" customHeight="false" outlineLevel="0" collapsed="false">
      <c r="A48" s="0" t="n">
        <v>46</v>
      </c>
      <c r="B48" s="0" t="n">
        <f aca="false">calc_cohort!D$2+constant!$B$1*A48</f>
        <v>35.0333333333333</v>
      </c>
      <c r="C48" s="0" t="n">
        <f aca="false">_xlfn.FLOOR.MATH(B48)</f>
        <v>35</v>
      </c>
      <c r="D48" s="4" t="n">
        <f aca="false">INDEX(table_mortality_rate!$A$1:$C$2000,MATCH(C48,table_mortality_rate!$A$1:$A$2000,0),MATCH(calc_cohort!$E$2,table_mortality_rate!A$1:C$1,0))</f>
        <v>0.000689</v>
      </c>
      <c r="E48" s="0" t="n">
        <f aca="false">(1-D48)^constant!$B$1</f>
        <v>0.999942565193643</v>
      </c>
      <c r="F48" s="0" t="n">
        <f aca="false">IF(A48=0,1,F47*E48)</f>
        <v>0.997580249263734</v>
      </c>
      <c r="G48" s="5" t="b">
        <f aca="false">B48&gt;=calc_cohort!C$2</f>
        <v>0</v>
      </c>
      <c r="H48" s="0" t="n">
        <f aca="false">IF(G48,1,0)</f>
        <v>0</v>
      </c>
      <c r="I48" s="0" t="n">
        <f aca="false">calc_cohort!$B$2*constant!$B$1*F48*H48</f>
        <v>0</v>
      </c>
      <c r="J48" s="0" t="n">
        <f aca="false">INDEX(table_spot_rate!B$1:B$2000,MATCH(A48,table_spot_rate!A$1:A$2000,0))</f>
        <v>0.0559176619356752</v>
      </c>
      <c r="K48" s="0" t="n">
        <f aca="false">(1+J48)^(-A48*constant!$B$1)</f>
        <v>0.811742202417307</v>
      </c>
      <c r="L48" s="0" t="n">
        <f aca="false">K48*I48</f>
        <v>0</v>
      </c>
    </row>
    <row r="49" customFormat="false" ht="12.8" hidden="false" customHeight="false" outlineLevel="0" collapsed="false">
      <c r="A49" s="0" t="n">
        <v>47</v>
      </c>
      <c r="B49" s="0" t="n">
        <f aca="false">calc_cohort!D$2+constant!$B$1*A49</f>
        <v>35.1166666666667</v>
      </c>
      <c r="C49" s="0" t="n">
        <f aca="false">_xlfn.FLOOR.MATH(B49)</f>
        <v>35</v>
      </c>
      <c r="D49" s="4" t="n">
        <f aca="false">INDEX(table_mortality_rate!$A$1:$C$2000,MATCH(C49,table_mortality_rate!$A$1:$A$2000,0),MATCH(calc_cohort!$E$2,table_mortality_rate!A$1:C$1,0))</f>
        <v>0.000689</v>
      </c>
      <c r="E49" s="0" t="n">
        <f aca="false">(1-D49)^constant!$B$1</f>
        <v>0.999942565193643</v>
      </c>
      <c r="F49" s="0" t="n">
        <f aca="false">IF(A49=0,1,F48*E49)</f>
        <v>0.997522953435292</v>
      </c>
      <c r="G49" s="5" t="b">
        <f aca="false">B49&gt;=calc_cohort!C$2</f>
        <v>0</v>
      </c>
      <c r="H49" s="0" t="n">
        <f aca="false">IF(G49,1,0)</f>
        <v>0</v>
      </c>
      <c r="I49" s="0" t="n">
        <f aca="false">calc_cohort!$B$2*constant!$B$1*F49*H49</f>
        <v>0</v>
      </c>
      <c r="J49" s="0" t="n">
        <f aca="false">INDEX(table_spot_rate!B$1:B$2000,MATCH(A49,table_spot_rate!A$1:A$2000,0))</f>
        <v>0.0540649212704665</v>
      </c>
      <c r="K49" s="0" t="n">
        <f aca="false">(1+J49)^(-A49*constant!$B$1)</f>
        <v>0.813647269720361</v>
      </c>
      <c r="L49" s="0" t="n">
        <f aca="false">K49*I49</f>
        <v>0</v>
      </c>
    </row>
    <row r="50" customFormat="false" ht="12.8" hidden="false" customHeight="false" outlineLevel="0" collapsed="false">
      <c r="A50" s="0" t="n">
        <v>48</v>
      </c>
      <c r="B50" s="0" t="n">
        <f aca="false">calc_cohort!D$2+constant!$B$1*A50</f>
        <v>35.2</v>
      </c>
      <c r="C50" s="0" t="n">
        <f aca="false">_xlfn.FLOOR.MATH(B50)</f>
        <v>35</v>
      </c>
      <c r="D50" s="4" t="n">
        <f aca="false">INDEX(table_mortality_rate!$A$1:$C$2000,MATCH(C50,table_mortality_rate!$A$1:$A$2000,0),MATCH(calc_cohort!$E$2,table_mortality_rate!A$1:C$1,0))</f>
        <v>0.000689</v>
      </c>
      <c r="E50" s="0" t="n">
        <f aca="false">(1-D50)^constant!$B$1</f>
        <v>0.999942565193643</v>
      </c>
      <c r="F50" s="0" t="n">
        <f aca="false">IF(A50=0,1,F49*E50)</f>
        <v>0.997465660897625</v>
      </c>
      <c r="G50" s="5" t="b">
        <f aca="false">B50&gt;=calc_cohort!C$2</f>
        <v>0</v>
      </c>
      <c r="H50" s="0" t="n">
        <f aca="false">IF(G50,1,0)</f>
        <v>0</v>
      </c>
      <c r="I50" s="0" t="n">
        <f aca="false">calc_cohort!$B$2*constant!$B$1*F50*H50</f>
        <v>0</v>
      </c>
      <c r="J50" s="0" t="n">
        <f aca="false">INDEX(table_spot_rate!B$1:B$2000,MATCH(A50,table_spot_rate!A$1:A$2000,0))</f>
        <v>0.0534004041512094</v>
      </c>
      <c r="K50" s="0" t="n">
        <f aca="false">(1+J50)^(-A50*constant!$B$1)</f>
        <v>0.812130979583742</v>
      </c>
      <c r="L50" s="0" t="n">
        <f aca="false">K50*I50</f>
        <v>0</v>
      </c>
    </row>
    <row r="51" customFormat="false" ht="12.8" hidden="false" customHeight="false" outlineLevel="0" collapsed="false">
      <c r="A51" s="0" t="n">
        <v>49</v>
      </c>
      <c r="B51" s="0" t="n">
        <f aca="false">calc_cohort!D$2+constant!$B$1*A51</f>
        <v>35.2833333333333</v>
      </c>
      <c r="C51" s="0" t="n">
        <f aca="false">_xlfn.FLOOR.MATH(B51)</f>
        <v>35</v>
      </c>
      <c r="D51" s="4" t="n">
        <f aca="false">INDEX(table_mortality_rate!$A$1:$C$2000,MATCH(C51,table_mortality_rate!$A$1:$A$2000,0),MATCH(calc_cohort!$E$2,table_mortality_rate!A$1:C$1,0))</f>
        <v>0.000689</v>
      </c>
      <c r="E51" s="0" t="n">
        <f aca="false">(1-D51)^constant!$B$1</f>
        <v>0.999942565193643</v>
      </c>
      <c r="F51" s="0" t="n">
        <f aca="false">IF(A51=0,1,F50*E51)</f>
        <v>0.997408371650544</v>
      </c>
      <c r="G51" s="5" t="b">
        <f aca="false">B51&gt;=calc_cohort!C$2</f>
        <v>0</v>
      </c>
      <c r="H51" s="0" t="n">
        <f aca="false">IF(G51,1,0)</f>
        <v>0</v>
      </c>
      <c r="I51" s="0" t="n">
        <f aca="false">calc_cohort!$B$2*constant!$B$1*F51*H51</f>
        <v>0</v>
      </c>
      <c r="J51" s="0" t="n">
        <f aca="false">INDEX(table_spot_rate!B$1:B$2000,MATCH(A51,table_spot_rate!A$1:A$2000,0))</f>
        <v>0.0543966396617147</v>
      </c>
      <c r="K51" s="0" t="n">
        <f aca="false">(1+J51)^(-A51*constant!$B$1)</f>
        <v>0.805502599385384</v>
      </c>
      <c r="L51" s="0" t="n">
        <f aca="false">K51*I51</f>
        <v>0</v>
      </c>
    </row>
    <row r="52" customFormat="false" ht="12.8" hidden="false" customHeight="false" outlineLevel="0" collapsed="false">
      <c r="A52" s="0" t="n">
        <v>50</v>
      </c>
      <c r="B52" s="0" t="n">
        <f aca="false">calc_cohort!D$2+constant!$B$1*A52</f>
        <v>35.3666666666667</v>
      </c>
      <c r="C52" s="0" t="n">
        <f aca="false">_xlfn.FLOOR.MATH(B52)</f>
        <v>35</v>
      </c>
      <c r="D52" s="4" t="n">
        <f aca="false">INDEX(table_mortality_rate!$A$1:$C$2000,MATCH(C52,table_mortality_rate!$A$1:$A$2000,0),MATCH(calc_cohort!$E$2,table_mortality_rate!A$1:C$1,0))</f>
        <v>0.000689</v>
      </c>
      <c r="E52" s="0" t="n">
        <f aca="false">(1-D52)^constant!$B$1</f>
        <v>0.999942565193643</v>
      </c>
      <c r="F52" s="0" t="n">
        <f aca="false">IF(A52=0,1,F51*E52)</f>
        <v>0.997351085693859</v>
      </c>
      <c r="G52" s="5" t="b">
        <f aca="false">B52&gt;=calc_cohort!C$2</f>
        <v>0</v>
      </c>
      <c r="H52" s="0" t="n">
        <f aca="false">IF(G52,1,0)</f>
        <v>0</v>
      </c>
      <c r="I52" s="0" t="n">
        <f aca="false">calc_cohort!$B$2*constant!$B$1*F52*H52</f>
        <v>0</v>
      </c>
      <c r="J52" s="0" t="n">
        <f aca="false">INDEX(table_spot_rate!B$1:B$2000,MATCH(A52,table_spot_rate!A$1:A$2000,0))</f>
        <v>0.0567355243543107</v>
      </c>
      <c r="K52" s="0" t="n">
        <f aca="false">(1+J52)^(-A52*constant!$B$1)</f>
        <v>0.794585043260416</v>
      </c>
      <c r="L52" s="0" t="n">
        <f aca="false">K52*I52</f>
        <v>0</v>
      </c>
    </row>
    <row r="53" customFormat="false" ht="12.8" hidden="false" customHeight="false" outlineLevel="0" collapsed="false">
      <c r="A53" s="0" t="n">
        <v>51</v>
      </c>
      <c r="B53" s="0" t="n">
        <f aca="false">calc_cohort!D$2+constant!$B$1*A53</f>
        <v>35.45</v>
      </c>
      <c r="C53" s="0" t="n">
        <f aca="false">_xlfn.FLOOR.MATH(B53)</f>
        <v>35</v>
      </c>
      <c r="D53" s="4" t="n">
        <f aca="false">INDEX(table_mortality_rate!$A$1:$C$2000,MATCH(C53,table_mortality_rate!$A$1:$A$2000,0),MATCH(calc_cohort!$E$2,table_mortality_rate!A$1:C$1,0))</f>
        <v>0.000689</v>
      </c>
      <c r="E53" s="0" t="n">
        <f aca="false">(1-D53)^constant!$B$1</f>
        <v>0.999942565193643</v>
      </c>
      <c r="F53" s="0" t="n">
        <f aca="false">IF(A53=0,1,F52*E53)</f>
        <v>0.997293803027382</v>
      </c>
      <c r="G53" s="5" t="b">
        <f aca="false">B53&gt;=calc_cohort!C$2</f>
        <v>0</v>
      </c>
      <c r="H53" s="0" t="n">
        <f aca="false">IF(G53,1,0)</f>
        <v>0</v>
      </c>
      <c r="I53" s="0" t="n">
        <f aca="false">calc_cohort!$B$2*constant!$B$1*F53*H53</f>
        <v>0</v>
      </c>
      <c r="J53" s="0" t="n">
        <f aca="false">INDEX(table_spot_rate!B$1:B$2000,MATCH(A53,table_spot_rate!A$1:A$2000,0))</f>
        <v>0.0539073679699141</v>
      </c>
      <c r="K53" s="0" t="n">
        <f aca="false">(1+J53)^(-A53*constant!$B$1)</f>
        <v>0.799999336778276</v>
      </c>
      <c r="L53" s="0" t="n">
        <f aca="false">K53*I53</f>
        <v>0</v>
      </c>
    </row>
    <row r="54" customFormat="false" ht="12.8" hidden="false" customHeight="false" outlineLevel="0" collapsed="false">
      <c r="A54" s="0" t="n">
        <v>52</v>
      </c>
      <c r="B54" s="0" t="n">
        <f aca="false">calc_cohort!D$2+constant!$B$1*A54</f>
        <v>35.5333333333333</v>
      </c>
      <c r="C54" s="0" t="n">
        <f aca="false">_xlfn.FLOOR.MATH(B54)</f>
        <v>35</v>
      </c>
      <c r="D54" s="4" t="n">
        <f aca="false">INDEX(table_mortality_rate!$A$1:$C$2000,MATCH(C54,table_mortality_rate!$A$1:$A$2000,0),MATCH(calc_cohort!$E$2,table_mortality_rate!A$1:C$1,0))</f>
        <v>0.000689</v>
      </c>
      <c r="E54" s="0" t="n">
        <f aca="false">(1-D54)^constant!$B$1</f>
        <v>0.999942565193643</v>
      </c>
      <c r="F54" s="0" t="n">
        <f aca="false">IF(A54=0,1,F53*E54)</f>
        <v>0.997236523650924</v>
      </c>
      <c r="G54" s="5" t="b">
        <f aca="false">B54&gt;=calc_cohort!C$2</f>
        <v>0</v>
      </c>
      <c r="H54" s="0" t="n">
        <f aca="false">IF(G54,1,0)</f>
        <v>0</v>
      </c>
      <c r="I54" s="0" t="n">
        <f aca="false">calc_cohort!$B$2*constant!$B$1*F54*H54</f>
        <v>0</v>
      </c>
      <c r="J54" s="0" t="n">
        <f aca="false">INDEX(table_spot_rate!B$1:B$2000,MATCH(A54,table_spot_rate!A$1:A$2000,0))</f>
        <v>0.0575930137558352</v>
      </c>
      <c r="K54" s="0" t="n">
        <f aca="false">(1+J54)^(-A54*constant!$B$1)</f>
        <v>0.784547992993577</v>
      </c>
      <c r="L54" s="0" t="n">
        <f aca="false">K54*I54</f>
        <v>0</v>
      </c>
    </row>
    <row r="55" customFormat="false" ht="12.8" hidden="false" customHeight="false" outlineLevel="0" collapsed="false">
      <c r="A55" s="0" t="n">
        <v>53</v>
      </c>
      <c r="B55" s="0" t="n">
        <f aca="false">calc_cohort!D$2+constant!$B$1*A55</f>
        <v>35.6166666666667</v>
      </c>
      <c r="C55" s="0" t="n">
        <f aca="false">_xlfn.FLOOR.MATH(B55)</f>
        <v>35</v>
      </c>
      <c r="D55" s="4" t="n">
        <f aca="false">INDEX(table_mortality_rate!$A$1:$C$2000,MATCH(C55,table_mortality_rate!$A$1:$A$2000,0),MATCH(calc_cohort!$E$2,table_mortality_rate!A$1:C$1,0))</f>
        <v>0.000689</v>
      </c>
      <c r="E55" s="0" t="n">
        <f aca="false">(1-D55)^constant!$B$1</f>
        <v>0.999942565193643</v>
      </c>
      <c r="F55" s="0" t="n">
        <f aca="false">IF(A55=0,1,F54*E55)</f>
        <v>0.997179247564296</v>
      </c>
      <c r="G55" s="5" t="b">
        <f aca="false">B55&gt;=calc_cohort!C$2</f>
        <v>0</v>
      </c>
      <c r="H55" s="0" t="n">
        <f aca="false">IF(G55,1,0)</f>
        <v>0</v>
      </c>
      <c r="I55" s="0" t="n">
        <f aca="false">calc_cohort!$B$2*constant!$B$1*F55*H55</f>
        <v>0</v>
      </c>
      <c r="J55" s="0" t="n">
        <f aca="false">INDEX(table_spot_rate!B$1:B$2000,MATCH(A55,table_spot_rate!A$1:A$2000,0))</f>
        <v>0.0536263192832265</v>
      </c>
      <c r="K55" s="0" t="n">
        <f aca="false">(1+J55)^(-A55*constant!$B$1)</f>
        <v>0.793963985294377</v>
      </c>
      <c r="L55" s="0" t="n">
        <f aca="false">K55*I55</f>
        <v>0</v>
      </c>
    </row>
    <row r="56" customFormat="false" ht="12.8" hidden="false" customHeight="false" outlineLevel="0" collapsed="false">
      <c r="A56" s="0" t="n">
        <v>54</v>
      </c>
      <c r="B56" s="0" t="n">
        <f aca="false">calc_cohort!D$2+constant!$B$1*A56</f>
        <v>35.7</v>
      </c>
      <c r="C56" s="0" t="n">
        <f aca="false">_xlfn.FLOOR.MATH(B56)</f>
        <v>35</v>
      </c>
      <c r="D56" s="4" t="n">
        <f aca="false">INDEX(table_mortality_rate!$A$1:$C$2000,MATCH(C56,table_mortality_rate!$A$1:$A$2000,0),MATCH(calc_cohort!$E$2,table_mortality_rate!A$1:C$1,0))</f>
        <v>0.000689</v>
      </c>
      <c r="E56" s="0" t="n">
        <f aca="false">(1-D56)^constant!$B$1</f>
        <v>0.999942565193643</v>
      </c>
      <c r="F56" s="0" t="n">
        <f aca="false">IF(A56=0,1,F55*E56)</f>
        <v>0.997121974767309</v>
      </c>
      <c r="G56" s="5" t="b">
        <f aca="false">B56&gt;=calc_cohort!C$2</f>
        <v>0</v>
      </c>
      <c r="H56" s="0" t="n">
        <f aca="false">IF(G56,1,0)</f>
        <v>0</v>
      </c>
      <c r="I56" s="0" t="n">
        <f aca="false">calc_cohort!$B$2*constant!$B$1*F56*H56</f>
        <v>0</v>
      </c>
      <c r="J56" s="0" t="n">
        <f aca="false">INDEX(table_spot_rate!B$1:B$2000,MATCH(A56,table_spot_rate!A$1:A$2000,0))</f>
        <v>0.0543375017506779</v>
      </c>
      <c r="K56" s="0" t="n">
        <f aca="false">(1+J56)^(-A56*constant!$B$1)</f>
        <v>0.788118561539314</v>
      </c>
      <c r="L56" s="0" t="n">
        <f aca="false">K56*I56</f>
        <v>0</v>
      </c>
    </row>
    <row r="57" customFormat="false" ht="12.8" hidden="false" customHeight="false" outlineLevel="0" collapsed="false">
      <c r="A57" s="0" t="n">
        <v>55</v>
      </c>
      <c r="B57" s="0" t="n">
        <f aca="false">calc_cohort!D$2+constant!$B$1*A57</f>
        <v>35.7833333333333</v>
      </c>
      <c r="C57" s="0" t="n">
        <f aca="false">_xlfn.FLOOR.MATH(B57)</f>
        <v>35</v>
      </c>
      <c r="D57" s="4" t="n">
        <f aca="false">INDEX(table_mortality_rate!$A$1:$C$2000,MATCH(C57,table_mortality_rate!$A$1:$A$2000,0),MATCH(calc_cohort!$E$2,table_mortality_rate!A$1:C$1,0))</f>
        <v>0.000689</v>
      </c>
      <c r="E57" s="0" t="n">
        <f aca="false">(1-D57)^constant!$B$1</f>
        <v>0.999942565193643</v>
      </c>
      <c r="F57" s="0" t="n">
        <f aca="false">IF(A57=0,1,F56*E57)</f>
        <v>0.997064705259774</v>
      </c>
      <c r="G57" s="5" t="b">
        <f aca="false">B57&gt;=calc_cohort!C$2</f>
        <v>0</v>
      </c>
      <c r="H57" s="0" t="n">
        <f aca="false">IF(G57,1,0)</f>
        <v>0</v>
      </c>
      <c r="I57" s="0" t="n">
        <f aca="false">calc_cohort!$B$2*constant!$B$1*F57*H57</f>
        <v>0</v>
      </c>
      <c r="J57" s="0" t="n">
        <f aca="false">INDEX(table_spot_rate!B$1:B$2000,MATCH(A57,table_spot_rate!A$1:A$2000,0))</f>
        <v>0.0563694086068337</v>
      </c>
      <c r="K57" s="0" t="n">
        <f aca="false">(1+J57)^(-A57*constant!$B$1)</f>
        <v>0.777757444444765</v>
      </c>
      <c r="L57" s="0" t="n">
        <f aca="false">K57*I57</f>
        <v>0</v>
      </c>
    </row>
    <row r="58" customFormat="false" ht="12.8" hidden="false" customHeight="false" outlineLevel="0" collapsed="false">
      <c r="A58" s="0" t="n">
        <v>56</v>
      </c>
      <c r="B58" s="0" t="n">
        <f aca="false">calc_cohort!D$2+constant!$B$1*A58</f>
        <v>35.8666666666667</v>
      </c>
      <c r="C58" s="0" t="n">
        <f aca="false">_xlfn.FLOOR.MATH(B58)</f>
        <v>35</v>
      </c>
      <c r="D58" s="4" t="n">
        <f aca="false">INDEX(table_mortality_rate!$A$1:$C$2000,MATCH(C58,table_mortality_rate!$A$1:$A$2000,0),MATCH(calc_cohort!$E$2,table_mortality_rate!A$1:C$1,0))</f>
        <v>0.000689</v>
      </c>
      <c r="E58" s="0" t="n">
        <f aca="false">(1-D58)^constant!$B$1</f>
        <v>0.999942565193643</v>
      </c>
      <c r="F58" s="0" t="n">
        <f aca="false">IF(A58=0,1,F57*E58)</f>
        <v>0.997007439041502</v>
      </c>
      <c r="G58" s="5" t="b">
        <f aca="false">B58&gt;=calc_cohort!C$2</f>
        <v>0</v>
      </c>
      <c r="H58" s="0" t="n">
        <f aca="false">IF(G58,1,0)</f>
        <v>0</v>
      </c>
      <c r="I58" s="0" t="n">
        <f aca="false">calc_cohort!$B$2*constant!$B$1*F58*H58</f>
        <v>0</v>
      </c>
      <c r="J58" s="0" t="n">
        <f aca="false">INDEX(table_spot_rate!B$1:B$2000,MATCH(A58,table_spot_rate!A$1:A$2000,0))</f>
        <v>0.0504441322692602</v>
      </c>
      <c r="K58" s="0" t="n">
        <f aca="false">(1+J58)^(-A58*constant!$B$1)</f>
        <v>0.794803045414817</v>
      </c>
      <c r="L58" s="0" t="n">
        <f aca="false">K58*I58</f>
        <v>0</v>
      </c>
    </row>
    <row r="59" customFormat="false" ht="12.8" hidden="false" customHeight="false" outlineLevel="0" collapsed="false">
      <c r="A59" s="0" t="n">
        <v>57</v>
      </c>
      <c r="B59" s="0" t="n">
        <f aca="false">calc_cohort!D$2+constant!$B$1*A59</f>
        <v>35.95</v>
      </c>
      <c r="C59" s="0" t="n">
        <f aca="false">_xlfn.FLOOR.MATH(B59)</f>
        <v>35</v>
      </c>
      <c r="D59" s="4" t="n">
        <f aca="false">INDEX(table_mortality_rate!$A$1:$C$2000,MATCH(C59,table_mortality_rate!$A$1:$A$2000,0),MATCH(calc_cohort!$E$2,table_mortality_rate!A$1:C$1,0))</f>
        <v>0.000689</v>
      </c>
      <c r="E59" s="0" t="n">
        <f aca="false">(1-D59)^constant!$B$1</f>
        <v>0.999942565193643</v>
      </c>
      <c r="F59" s="0" t="n">
        <f aca="false">IF(A59=0,1,F58*E59)</f>
        <v>0.996950176112304</v>
      </c>
      <c r="G59" s="5" t="b">
        <f aca="false">B59&gt;=calc_cohort!C$2</f>
        <v>0</v>
      </c>
      <c r="H59" s="0" t="n">
        <f aca="false">IF(G59,1,0)</f>
        <v>0</v>
      </c>
      <c r="I59" s="0" t="n">
        <f aca="false">calc_cohort!$B$2*constant!$B$1*F59*H59</f>
        <v>0</v>
      </c>
      <c r="J59" s="0" t="n">
        <f aca="false">INDEX(table_spot_rate!B$1:B$2000,MATCH(A59,table_spot_rate!A$1:A$2000,0))</f>
        <v>0.058432758135846</v>
      </c>
      <c r="K59" s="0" t="n">
        <f aca="false">(1+J59)^(-A59*constant!$B$1)</f>
        <v>0.763571051192837</v>
      </c>
      <c r="L59" s="0" t="n">
        <f aca="false">K59*I59</f>
        <v>0</v>
      </c>
    </row>
    <row r="60" customFormat="false" ht="12.8" hidden="false" customHeight="false" outlineLevel="0" collapsed="false">
      <c r="A60" s="0" t="n">
        <v>58</v>
      </c>
      <c r="B60" s="0" t="n">
        <f aca="false">calc_cohort!D$2+constant!$B$1*A60</f>
        <v>36.0333333333333</v>
      </c>
      <c r="C60" s="0" t="n">
        <f aca="false">_xlfn.FLOOR.MATH(B60)</f>
        <v>36</v>
      </c>
      <c r="D60" s="4" t="n">
        <f aca="false">INDEX(table_mortality_rate!$A$1:$C$2000,MATCH(C60,table_mortality_rate!$A$1:$A$2000,0),MATCH(calc_cohort!$E$2,table_mortality_rate!A$1:C$1,0))</f>
        <v>0.000724</v>
      </c>
      <c r="E60" s="0" t="n">
        <f aca="false">(1-D60)^constant!$B$1</f>
        <v>0.99993964663679</v>
      </c>
      <c r="F60" s="0" t="n">
        <f aca="false">IF(A60=0,1,F59*E60)</f>
        <v>0.996890006816223</v>
      </c>
      <c r="G60" s="5" t="b">
        <f aca="false">B60&gt;=calc_cohort!C$2</f>
        <v>0</v>
      </c>
      <c r="H60" s="0" t="n">
        <f aca="false">IF(G60,1,0)</f>
        <v>0</v>
      </c>
      <c r="I60" s="0" t="n">
        <f aca="false">calc_cohort!$B$2*constant!$B$1*F60*H60</f>
        <v>0</v>
      </c>
      <c r="J60" s="0" t="n">
        <f aca="false">INDEX(table_spot_rate!B$1:B$2000,MATCH(A60,table_spot_rate!A$1:A$2000,0))</f>
        <v>0.0547192566618106</v>
      </c>
      <c r="K60" s="0" t="n">
        <f aca="false">(1+J60)^(-A60*constant!$B$1)</f>
        <v>0.772986251529558</v>
      </c>
      <c r="L60" s="0" t="n">
        <f aca="false">K60*I60</f>
        <v>0</v>
      </c>
    </row>
    <row r="61" customFormat="false" ht="12.8" hidden="false" customHeight="false" outlineLevel="0" collapsed="false">
      <c r="A61" s="0" t="n">
        <v>59</v>
      </c>
      <c r="B61" s="0" t="n">
        <f aca="false">calc_cohort!D$2+constant!$B$1*A61</f>
        <v>36.1166666666667</v>
      </c>
      <c r="C61" s="0" t="n">
        <f aca="false">_xlfn.FLOOR.MATH(B61)</f>
        <v>36</v>
      </c>
      <c r="D61" s="4" t="n">
        <f aca="false">INDEX(table_mortality_rate!$A$1:$C$2000,MATCH(C61,table_mortality_rate!$A$1:$A$2000,0),MATCH(calc_cohort!$E$2,table_mortality_rate!A$1:C$1,0))</f>
        <v>0.000724</v>
      </c>
      <c r="E61" s="0" t="n">
        <f aca="false">(1-D61)^constant!$B$1</f>
        <v>0.99993964663679</v>
      </c>
      <c r="F61" s="0" t="n">
        <f aca="false">IF(A61=0,1,F60*E61)</f>
        <v>0.996829841151562</v>
      </c>
      <c r="G61" s="5" t="b">
        <f aca="false">B61&gt;=calc_cohort!C$2</f>
        <v>0</v>
      </c>
      <c r="H61" s="0" t="n">
        <f aca="false">IF(G61,1,0)</f>
        <v>0</v>
      </c>
      <c r="I61" s="0" t="n">
        <f aca="false">calc_cohort!$B$2*constant!$B$1*F61*H61</f>
        <v>0</v>
      </c>
      <c r="J61" s="0" t="n">
        <f aca="false">INDEX(table_spot_rate!B$1:B$2000,MATCH(A61,table_spot_rate!A$1:A$2000,0))</f>
        <v>0.0508945783985556</v>
      </c>
      <c r="K61" s="0" t="n">
        <f aca="false">(1+J61)^(-A61*constant!$B$1)</f>
        <v>0.783431155248234</v>
      </c>
      <c r="L61" s="0" t="n">
        <f aca="false">K61*I61</f>
        <v>0</v>
      </c>
    </row>
    <row r="62" customFormat="false" ht="12.8" hidden="false" customHeight="false" outlineLevel="0" collapsed="false">
      <c r="A62" s="0" t="n">
        <v>60</v>
      </c>
      <c r="B62" s="0" t="n">
        <f aca="false">calc_cohort!D$2+constant!$B$1*A62</f>
        <v>36.2</v>
      </c>
      <c r="C62" s="0" t="n">
        <f aca="false">_xlfn.FLOOR.MATH(B62)</f>
        <v>36</v>
      </c>
      <c r="D62" s="4" t="n">
        <f aca="false">INDEX(table_mortality_rate!$A$1:$C$2000,MATCH(C62,table_mortality_rate!$A$1:$A$2000,0),MATCH(calc_cohort!$E$2,table_mortality_rate!A$1:C$1,0))</f>
        <v>0.000724</v>
      </c>
      <c r="E62" s="0" t="n">
        <f aca="false">(1-D62)^constant!$B$1</f>
        <v>0.99993964663679</v>
      </c>
      <c r="F62" s="0" t="n">
        <f aca="false">IF(A62=0,1,F61*E62)</f>
        <v>0.9967696791181</v>
      </c>
      <c r="G62" s="5" t="b">
        <f aca="false">B62&gt;=calc_cohort!C$2</f>
        <v>0</v>
      </c>
      <c r="H62" s="0" t="n">
        <f aca="false">IF(G62,1,0)</f>
        <v>0</v>
      </c>
      <c r="I62" s="0" t="n">
        <f aca="false">calc_cohort!$B$2*constant!$B$1*F62*H62</f>
        <v>0</v>
      </c>
      <c r="J62" s="0" t="n">
        <f aca="false">INDEX(table_spot_rate!B$1:B$2000,MATCH(A62,table_spot_rate!A$1:A$2000,0))</f>
        <v>0.0593608342654209</v>
      </c>
      <c r="K62" s="0" t="n">
        <f aca="false">(1+J62)^(-A62*constant!$B$1)</f>
        <v>0.749515187180462</v>
      </c>
      <c r="L62" s="0" t="n">
        <f aca="false">K62*I62</f>
        <v>0</v>
      </c>
    </row>
    <row r="63" customFormat="false" ht="12.8" hidden="false" customHeight="false" outlineLevel="0" collapsed="false">
      <c r="A63" s="0" t="n">
        <v>61</v>
      </c>
      <c r="B63" s="0" t="n">
        <f aca="false">calc_cohort!D$2+constant!$B$1*A63</f>
        <v>36.2833333333333</v>
      </c>
      <c r="C63" s="0" t="n">
        <f aca="false">_xlfn.FLOOR.MATH(B63)</f>
        <v>36</v>
      </c>
      <c r="D63" s="4" t="n">
        <f aca="false">INDEX(table_mortality_rate!$A$1:$C$2000,MATCH(C63,table_mortality_rate!$A$1:$A$2000,0),MATCH(calc_cohort!$E$2,table_mortality_rate!A$1:C$1,0))</f>
        <v>0.000724</v>
      </c>
      <c r="E63" s="0" t="n">
        <f aca="false">(1-D63)^constant!$B$1</f>
        <v>0.99993964663679</v>
      </c>
      <c r="F63" s="0" t="n">
        <f aca="false">IF(A63=0,1,F62*E63)</f>
        <v>0.996709520715619</v>
      </c>
      <c r="G63" s="5" t="b">
        <f aca="false">B63&gt;=calc_cohort!C$2</f>
        <v>0</v>
      </c>
      <c r="H63" s="0" t="n">
        <f aca="false">IF(G63,1,0)</f>
        <v>0</v>
      </c>
      <c r="I63" s="0" t="n">
        <f aca="false">calc_cohort!$B$2*constant!$B$1*F63*H63</f>
        <v>0</v>
      </c>
      <c r="J63" s="0" t="n">
        <f aca="false">INDEX(table_spot_rate!B$1:B$2000,MATCH(A63,table_spot_rate!A$1:A$2000,0))</f>
        <v>0.0547992313348354</v>
      </c>
      <c r="K63" s="0" t="n">
        <f aca="false">(1+J63)^(-A63*constant!$B$1)</f>
        <v>0.762465433689875</v>
      </c>
      <c r="L63" s="0" t="n">
        <f aca="false">K63*I63</f>
        <v>0</v>
      </c>
    </row>
    <row r="64" customFormat="false" ht="12.8" hidden="false" customHeight="false" outlineLevel="0" collapsed="false">
      <c r="A64" s="0" t="n">
        <v>62</v>
      </c>
      <c r="B64" s="0" t="n">
        <f aca="false">calc_cohort!D$2+constant!$B$1*A64</f>
        <v>36.3666666666667</v>
      </c>
      <c r="C64" s="0" t="n">
        <f aca="false">_xlfn.FLOOR.MATH(B64)</f>
        <v>36</v>
      </c>
      <c r="D64" s="4" t="n">
        <f aca="false">INDEX(table_mortality_rate!$A$1:$C$2000,MATCH(C64,table_mortality_rate!$A$1:$A$2000,0),MATCH(calc_cohort!$E$2,table_mortality_rate!A$1:C$1,0))</f>
        <v>0.000724</v>
      </c>
      <c r="E64" s="0" t="n">
        <f aca="false">(1-D64)^constant!$B$1</f>
        <v>0.99993964663679</v>
      </c>
      <c r="F64" s="0" t="n">
        <f aca="false">IF(A64=0,1,F63*E64)</f>
        <v>0.996649365943901</v>
      </c>
      <c r="G64" s="5" t="b">
        <f aca="false">B64&gt;=calc_cohort!C$2</f>
        <v>0</v>
      </c>
      <c r="H64" s="0" t="n">
        <f aca="false">IF(G64,1,0)</f>
        <v>0</v>
      </c>
      <c r="I64" s="0" t="n">
        <f aca="false">calc_cohort!$B$2*constant!$B$1*F64*H64</f>
        <v>0</v>
      </c>
      <c r="J64" s="0" t="n">
        <f aca="false">INDEX(table_spot_rate!B$1:B$2000,MATCH(A64,table_spot_rate!A$1:A$2000,0))</f>
        <v>0.0541634689667358</v>
      </c>
      <c r="K64" s="0" t="n">
        <f aca="false">(1+J64)^(-A64*constant!$B$1)</f>
        <v>0.761451411276069</v>
      </c>
      <c r="L64" s="0" t="n">
        <f aca="false">K64*I64</f>
        <v>0</v>
      </c>
    </row>
    <row r="65" customFormat="false" ht="12.8" hidden="false" customHeight="false" outlineLevel="0" collapsed="false">
      <c r="A65" s="0" t="n">
        <v>63</v>
      </c>
      <c r="B65" s="0" t="n">
        <f aca="false">calc_cohort!D$2+constant!$B$1*A65</f>
        <v>36.45</v>
      </c>
      <c r="C65" s="0" t="n">
        <f aca="false">_xlfn.FLOOR.MATH(B65)</f>
        <v>36</v>
      </c>
      <c r="D65" s="4" t="n">
        <f aca="false">INDEX(table_mortality_rate!$A$1:$C$2000,MATCH(C65,table_mortality_rate!$A$1:$A$2000,0),MATCH(calc_cohort!$E$2,table_mortality_rate!A$1:C$1,0))</f>
        <v>0.000724</v>
      </c>
      <c r="E65" s="0" t="n">
        <f aca="false">(1-D65)^constant!$B$1</f>
        <v>0.99993964663679</v>
      </c>
      <c r="F65" s="0" t="n">
        <f aca="false">IF(A65=0,1,F64*E65)</f>
        <v>0.996589214802725</v>
      </c>
      <c r="G65" s="5" t="b">
        <f aca="false">B65&gt;=calc_cohort!C$2</f>
        <v>0</v>
      </c>
      <c r="H65" s="0" t="n">
        <f aca="false">IF(G65,1,0)</f>
        <v>0</v>
      </c>
      <c r="I65" s="0" t="n">
        <f aca="false">calc_cohort!$B$2*constant!$B$1*F65*H65</f>
        <v>0</v>
      </c>
      <c r="J65" s="0" t="n">
        <f aca="false">INDEX(table_spot_rate!B$1:B$2000,MATCH(A65,table_spot_rate!A$1:A$2000,0))</f>
        <v>0.0577274266963911</v>
      </c>
      <c r="K65" s="0" t="n">
        <f aca="false">(1+J65)^(-A65*constant!$B$1)</f>
        <v>0.744796676731778</v>
      </c>
      <c r="L65" s="0" t="n">
        <f aca="false">K65*I65</f>
        <v>0</v>
      </c>
    </row>
    <row r="66" customFormat="false" ht="12.8" hidden="false" customHeight="false" outlineLevel="0" collapsed="false">
      <c r="A66" s="0" t="n">
        <v>64</v>
      </c>
      <c r="B66" s="0" t="n">
        <f aca="false">calc_cohort!D$2+constant!$B$1*A66</f>
        <v>36.5333333333333</v>
      </c>
      <c r="C66" s="0" t="n">
        <f aca="false">_xlfn.FLOOR.MATH(B66)</f>
        <v>36</v>
      </c>
      <c r="D66" s="4" t="n">
        <f aca="false">INDEX(table_mortality_rate!$A$1:$C$2000,MATCH(C66,table_mortality_rate!$A$1:$A$2000,0),MATCH(calc_cohort!$E$2,table_mortality_rate!A$1:C$1,0))</f>
        <v>0.000724</v>
      </c>
      <c r="E66" s="0" t="n">
        <f aca="false">(1-D66)^constant!$B$1</f>
        <v>0.99993964663679</v>
      </c>
      <c r="F66" s="0" t="n">
        <f aca="false">IF(A66=0,1,F65*E66)</f>
        <v>0.996529067291873</v>
      </c>
      <c r="G66" s="5" t="b">
        <f aca="false">B66&gt;=calc_cohort!C$2</f>
        <v>0</v>
      </c>
      <c r="H66" s="0" t="n">
        <f aca="false">IF(G66,1,0)</f>
        <v>0</v>
      </c>
      <c r="I66" s="0" t="n">
        <f aca="false">calc_cohort!$B$2*constant!$B$1*F66*H66</f>
        <v>0</v>
      </c>
      <c r="J66" s="0" t="n">
        <f aca="false">INDEX(table_spot_rate!B$1:B$2000,MATCH(A66,table_spot_rate!A$1:A$2000,0))</f>
        <v>0.0597922462599557</v>
      </c>
      <c r="K66" s="0" t="n">
        <f aca="false">(1+J66)^(-A66*constant!$B$1)</f>
        <v>0.733650805269871</v>
      </c>
      <c r="L66" s="0" t="n">
        <f aca="false">K66*I66</f>
        <v>0</v>
      </c>
    </row>
    <row r="67" customFormat="false" ht="12.8" hidden="false" customHeight="false" outlineLevel="0" collapsed="false">
      <c r="A67" s="0" t="n">
        <v>65</v>
      </c>
      <c r="B67" s="0" t="n">
        <f aca="false">calc_cohort!D$2+constant!$B$1*A67</f>
        <v>36.6166666666667</v>
      </c>
      <c r="C67" s="0" t="n">
        <f aca="false">_xlfn.FLOOR.MATH(B67)</f>
        <v>36</v>
      </c>
      <c r="D67" s="4" t="n">
        <f aca="false">INDEX(table_mortality_rate!$A$1:$C$2000,MATCH(C67,table_mortality_rate!$A$1:$A$2000,0),MATCH(calc_cohort!$E$2,table_mortality_rate!A$1:C$1,0))</f>
        <v>0.000724</v>
      </c>
      <c r="E67" s="0" t="n">
        <f aca="false">(1-D67)^constant!$B$1</f>
        <v>0.99993964663679</v>
      </c>
      <c r="F67" s="0" t="n">
        <f aca="false">IF(A67=0,1,F66*E67)</f>
        <v>0.996468923411125</v>
      </c>
      <c r="G67" s="5" t="b">
        <f aca="false">B67&gt;=calc_cohort!C$2</f>
        <v>0</v>
      </c>
      <c r="H67" s="0" t="n">
        <f aca="false">IF(G67,1,0)</f>
        <v>0</v>
      </c>
      <c r="I67" s="0" t="n">
        <f aca="false">calc_cohort!$B$2*constant!$B$1*F67*H67</f>
        <v>0</v>
      </c>
      <c r="J67" s="0" t="n">
        <f aca="false">INDEX(table_spot_rate!B$1:B$2000,MATCH(A67,table_spot_rate!A$1:A$2000,0))</f>
        <v>0.0577842511874743</v>
      </c>
      <c r="K67" s="0" t="n">
        <f aca="false">(1+J67)^(-A67*constant!$B$1)</f>
        <v>0.737647813299778</v>
      </c>
      <c r="L67" s="0" t="n">
        <f aca="false">K67*I67</f>
        <v>0</v>
      </c>
    </row>
    <row r="68" customFormat="false" ht="12.8" hidden="false" customHeight="false" outlineLevel="0" collapsed="false">
      <c r="A68" s="0" t="n">
        <v>66</v>
      </c>
      <c r="B68" s="0" t="n">
        <f aca="false">calc_cohort!D$2+constant!$B$1*A68</f>
        <v>36.7</v>
      </c>
      <c r="C68" s="0" t="n">
        <f aca="false">_xlfn.FLOOR.MATH(B68)</f>
        <v>36</v>
      </c>
      <c r="D68" s="4" t="n">
        <f aca="false">INDEX(table_mortality_rate!$A$1:$C$2000,MATCH(C68,table_mortality_rate!$A$1:$A$2000,0),MATCH(calc_cohort!$E$2,table_mortality_rate!A$1:C$1,0))</f>
        <v>0.000724</v>
      </c>
      <c r="E68" s="0" t="n">
        <f aca="false">(1-D68)^constant!$B$1</f>
        <v>0.99993964663679</v>
      </c>
      <c r="F68" s="0" t="n">
        <f aca="false">IF(A68=0,1,F67*E68)</f>
        <v>0.996408783160263</v>
      </c>
      <c r="G68" s="5" t="b">
        <f aca="false">B68&gt;=calc_cohort!C$2</f>
        <v>0</v>
      </c>
      <c r="H68" s="0" t="n">
        <f aca="false">IF(G68,1,0)</f>
        <v>0</v>
      </c>
      <c r="I68" s="0" t="n">
        <f aca="false">calc_cohort!$B$2*constant!$B$1*F68*H68</f>
        <v>0</v>
      </c>
      <c r="J68" s="0" t="n">
        <f aca="false">INDEX(table_spot_rate!B$1:B$2000,MATCH(A68,table_spot_rate!A$1:A$2000,0))</f>
        <v>0.0550869919626207</v>
      </c>
      <c r="K68" s="0" t="n">
        <f aca="false">(1+J68)^(-A68*constant!$B$1)</f>
        <v>0.744585410104001</v>
      </c>
      <c r="L68" s="0" t="n">
        <f aca="false">K68*I68</f>
        <v>0</v>
      </c>
    </row>
    <row r="69" customFormat="false" ht="12.8" hidden="false" customHeight="false" outlineLevel="0" collapsed="false">
      <c r="A69" s="0" t="n">
        <v>67</v>
      </c>
      <c r="B69" s="0" t="n">
        <f aca="false">calc_cohort!D$2+constant!$B$1*A69</f>
        <v>36.7833333333333</v>
      </c>
      <c r="C69" s="0" t="n">
        <f aca="false">_xlfn.FLOOR.MATH(B69)</f>
        <v>36</v>
      </c>
      <c r="D69" s="4" t="n">
        <f aca="false">INDEX(table_mortality_rate!$A$1:$C$2000,MATCH(C69,table_mortality_rate!$A$1:$A$2000,0),MATCH(calc_cohort!$E$2,table_mortality_rate!A$1:C$1,0))</f>
        <v>0.000724</v>
      </c>
      <c r="E69" s="0" t="n">
        <f aca="false">(1-D69)^constant!$B$1</f>
        <v>0.99993964663679</v>
      </c>
      <c r="F69" s="0" t="n">
        <f aca="false">IF(A69=0,1,F68*E69)</f>
        <v>0.996348646539067</v>
      </c>
      <c r="G69" s="5" t="b">
        <f aca="false">B69&gt;=calc_cohort!C$2</f>
        <v>0</v>
      </c>
      <c r="H69" s="0" t="n">
        <f aca="false">IF(G69,1,0)</f>
        <v>0</v>
      </c>
      <c r="I69" s="0" t="n">
        <f aca="false">calc_cohort!$B$2*constant!$B$1*F69*H69</f>
        <v>0</v>
      </c>
      <c r="J69" s="0" t="n">
        <f aca="false">INDEX(table_spot_rate!B$1:B$2000,MATCH(A69,table_spot_rate!A$1:A$2000,0))</f>
        <v>0.0559350132377264</v>
      </c>
      <c r="K69" s="0" t="n">
        <f aca="false">(1+J69)^(-A69*constant!$B$1)</f>
        <v>0.737947873122547</v>
      </c>
      <c r="L69" s="0" t="n">
        <f aca="false">K69*I69</f>
        <v>0</v>
      </c>
    </row>
    <row r="70" customFormat="false" ht="12.8" hidden="false" customHeight="false" outlineLevel="0" collapsed="false">
      <c r="A70" s="0" t="n">
        <v>68</v>
      </c>
      <c r="B70" s="0" t="n">
        <f aca="false">calc_cohort!D$2+constant!$B$1*A70</f>
        <v>36.8666666666667</v>
      </c>
      <c r="C70" s="0" t="n">
        <f aca="false">_xlfn.FLOOR.MATH(B70)</f>
        <v>36</v>
      </c>
      <c r="D70" s="4" t="n">
        <f aca="false">INDEX(table_mortality_rate!$A$1:$C$2000,MATCH(C70,table_mortality_rate!$A$1:$A$2000,0),MATCH(calc_cohort!$E$2,table_mortality_rate!A$1:C$1,0))</f>
        <v>0.000724</v>
      </c>
      <c r="E70" s="0" t="n">
        <f aca="false">(1-D70)^constant!$B$1</f>
        <v>0.99993964663679</v>
      </c>
      <c r="F70" s="0" t="n">
        <f aca="false">IF(A70=0,1,F69*E70)</f>
        <v>0.996288513547319</v>
      </c>
      <c r="G70" s="5" t="b">
        <f aca="false">B70&gt;=calc_cohort!C$2</f>
        <v>0</v>
      </c>
      <c r="H70" s="0" t="n">
        <f aca="false">IF(G70,1,0)</f>
        <v>0</v>
      </c>
      <c r="I70" s="0" t="n">
        <f aca="false">calc_cohort!$B$2*constant!$B$1*F70*H70</f>
        <v>0</v>
      </c>
      <c r="J70" s="0" t="n">
        <f aca="false">INDEX(table_spot_rate!B$1:B$2000,MATCH(A70,table_spot_rate!A$1:A$2000,0))</f>
        <v>0.0521935204314641</v>
      </c>
      <c r="K70" s="0" t="n">
        <f aca="false">(1+J70)^(-A70*constant!$B$1)</f>
        <v>0.749534227260383</v>
      </c>
      <c r="L70" s="0" t="n">
        <f aca="false">K70*I70</f>
        <v>0</v>
      </c>
    </row>
    <row r="71" customFormat="false" ht="12.8" hidden="false" customHeight="false" outlineLevel="0" collapsed="false">
      <c r="A71" s="0" t="n">
        <v>69</v>
      </c>
      <c r="B71" s="0" t="n">
        <f aca="false">calc_cohort!D$2+constant!$B$1*A71</f>
        <v>36.95</v>
      </c>
      <c r="C71" s="0" t="n">
        <f aca="false">_xlfn.FLOOR.MATH(B71)</f>
        <v>36</v>
      </c>
      <c r="D71" s="4" t="n">
        <f aca="false">INDEX(table_mortality_rate!$A$1:$C$2000,MATCH(C71,table_mortality_rate!$A$1:$A$2000,0),MATCH(calc_cohort!$E$2,table_mortality_rate!A$1:C$1,0))</f>
        <v>0.000724</v>
      </c>
      <c r="E71" s="0" t="n">
        <f aca="false">(1-D71)^constant!$B$1</f>
        <v>0.99993964663679</v>
      </c>
      <c r="F71" s="0" t="n">
        <f aca="false">IF(A71=0,1,F70*E71)</f>
        <v>0.996228384184799</v>
      </c>
      <c r="G71" s="5" t="b">
        <f aca="false">B71&gt;=calc_cohort!C$2</f>
        <v>0</v>
      </c>
      <c r="H71" s="0" t="n">
        <f aca="false">IF(G71,1,0)</f>
        <v>0</v>
      </c>
      <c r="I71" s="0" t="n">
        <f aca="false">calc_cohort!$B$2*constant!$B$1*F71*H71</f>
        <v>0</v>
      </c>
      <c r="J71" s="0" t="n">
        <f aca="false">INDEX(table_spot_rate!B$1:B$2000,MATCH(A71,table_spot_rate!A$1:A$2000,0))</f>
        <v>0.0548475471319578</v>
      </c>
      <c r="K71" s="0" t="n">
        <f aca="false">(1+J71)^(-A71*constant!$B$1)</f>
        <v>0.735629675227504</v>
      </c>
      <c r="L71" s="0" t="n">
        <f aca="false">K71*I71</f>
        <v>0</v>
      </c>
    </row>
    <row r="72" customFormat="false" ht="12.8" hidden="false" customHeight="false" outlineLevel="0" collapsed="false">
      <c r="A72" s="0" t="n">
        <v>70</v>
      </c>
      <c r="B72" s="0" t="n">
        <f aca="false">calc_cohort!D$2+constant!$B$1*A72</f>
        <v>37.0333333333333</v>
      </c>
      <c r="C72" s="0" t="n">
        <f aca="false">_xlfn.FLOOR.MATH(B72)</f>
        <v>37</v>
      </c>
      <c r="D72" s="4" t="n">
        <f aca="false">INDEX(table_mortality_rate!$A$1:$C$2000,MATCH(C72,table_mortality_rate!$A$1:$A$2000,0),MATCH(calc_cohort!$E$2,table_mortality_rate!A$1:C$1,0))</f>
        <v>0.000765</v>
      </c>
      <c r="E72" s="0" t="n">
        <f aca="false">(1-D72)^constant!$B$1</f>
        <v>0.999936227636725</v>
      </c>
      <c r="F72" s="0" t="n">
        <f aca="false">IF(A72=0,1,F71*E72)</f>
        <v>0.996164852346378</v>
      </c>
      <c r="G72" s="5" t="b">
        <f aca="false">B72&gt;=calc_cohort!C$2</f>
        <v>0</v>
      </c>
      <c r="H72" s="0" t="n">
        <f aca="false">IF(G72,1,0)</f>
        <v>0</v>
      </c>
      <c r="I72" s="0" t="n">
        <f aca="false">calc_cohort!$B$2*constant!$B$1*F72*H72</f>
        <v>0</v>
      </c>
      <c r="J72" s="0" t="n">
        <f aca="false">INDEX(table_spot_rate!B$1:B$2000,MATCH(A72,table_spot_rate!A$1:A$2000,0))</f>
        <v>0.0559725508405641</v>
      </c>
      <c r="K72" s="0" t="n">
        <f aca="false">(1+J72)^(-A72*constant!$B$1)</f>
        <v>0.727823928393196</v>
      </c>
      <c r="L72" s="0" t="n">
        <f aca="false">K72*I72</f>
        <v>0</v>
      </c>
    </row>
    <row r="73" customFormat="false" ht="12.8" hidden="false" customHeight="false" outlineLevel="0" collapsed="false">
      <c r="A73" s="0" t="n">
        <v>71</v>
      </c>
      <c r="B73" s="0" t="n">
        <f aca="false">calc_cohort!D$2+constant!$B$1*A73</f>
        <v>37.1166666666667</v>
      </c>
      <c r="C73" s="0" t="n">
        <f aca="false">_xlfn.FLOOR.MATH(B73)</f>
        <v>37</v>
      </c>
      <c r="D73" s="4" t="n">
        <f aca="false">INDEX(table_mortality_rate!$A$1:$C$2000,MATCH(C73,table_mortality_rate!$A$1:$A$2000,0),MATCH(calc_cohort!$E$2,table_mortality_rate!A$1:C$1,0))</f>
        <v>0.000765</v>
      </c>
      <c r="E73" s="0" t="n">
        <f aca="false">(1-D73)^constant!$B$1</f>
        <v>0.999936227636725</v>
      </c>
      <c r="F73" s="0" t="n">
        <f aca="false">IF(A73=0,1,F72*E73)</f>
        <v>0.996101324559533</v>
      </c>
      <c r="G73" s="5" t="b">
        <f aca="false">B73&gt;=calc_cohort!C$2</f>
        <v>0</v>
      </c>
      <c r="H73" s="0" t="n">
        <f aca="false">IF(G73,1,0)</f>
        <v>0</v>
      </c>
      <c r="I73" s="0" t="n">
        <f aca="false">calc_cohort!$B$2*constant!$B$1*F73*H73</f>
        <v>0</v>
      </c>
      <c r="J73" s="0" t="n">
        <f aca="false">INDEX(table_spot_rate!B$1:B$2000,MATCH(A73,table_spot_rate!A$1:A$2000,0))</f>
        <v>0.0559990729919744</v>
      </c>
      <c r="K73" s="0" t="n">
        <f aca="false">(1+J73)^(-A73*constant!$B$1)</f>
        <v>0.724420513353251</v>
      </c>
      <c r="L73" s="0" t="n">
        <f aca="false">K73*I73</f>
        <v>0</v>
      </c>
    </row>
    <row r="74" customFormat="false" ht="12.8" hidden="false" customHeight="false" outlineLevel="0" collapsed="false">
      <c r="A74" s="0" t="n">
        <v>72</v>
      </c>
      <c r="B74" s="0" t="n">
        <f aca="false">calc_cohort!D$2+constant!$B$1*A74</f>
        <v>37.2</v>
      </c>
      <c r="C74" s="0" t="n">
        <f aca="false">_xlfn.FLOOR.MATH(B74)</f>
        <v>37</v>
      </c>
      <c r="D74" s="4" t="n">
        <f aca="false">INDEX(table_mortality_rate!$A$1:$C$2000,MATCH(C74,table_mortality_rate!$A$1:$A$2000,0),MATCH(calc_cohort!$E$2,table_mortality_rate!A$1:C$1,0))</f>
        <v>0.000765</v>
      </c>
      <c r="E74" s="0" t="n">
        <f aca="false">(1-D74)^constant!$B$1</f>
        <v>0.999936227636725</v>
      </c>
      <c r="F74" s="0" t="n">
        <f aca="false">IF(A74=0,1,F73*E74)</f>
        <v>0.996037800824005</v>
      </c>
      <c r="G74" s="5" t="b">
        <f aca="false">B74&gt;=calc_cohort!C$2</f>
        <v>0</v>
      </c>
      <c r="H74" s="0" t="n">
        <f aca="false">IF(G74,1,0)</f>
        <v>0</v>
      </c>
      <c r="I74" s="0" t="n">
        <f aca="false">calc_cohort!$B$2*constant!$B$1*F74*H74</f>
        <v>0</v>
      </c>
      <c r="J74" s="0" t="n">
        <f aca="false">INDEX(table_spot_rate!B$1:B$2000,MATCH(A74,table_spot_rate!A$1:A$2000,0))</f>
        <v>0.0534310330196407</v>
      </c>
      <c r="K74" s="0" t="n">
        <f aca="false">(1+J74)^(-A74*constant!$B$1)</f>
        <v>0.731751045256651</v>
      </c>
      <c r="L74" s="0" t="n">
        <f aca="false">K74*I74</f>
        <v>0</v>
      </c>
    </row>
    <row r="75" customFormat="false" ht="12.8" hidden="false" customHeight="false" outlineLevel="0" collapsed="false">
      <c r="A75" s="0" t="n">
        <v>73</v>
      </c>
      <c r="B75" s="0" t="n">
        <f aca="false">calc_cohort!D$2+constant!$B$1*A75</f>
        <v>37.2833333333333</v>
      </c>
      <c r="C75" s="0" t="n">
        <f aca="false">_xlfn.FLOOR.MATH(B75)</f>
        <v>37</v>
      </c>
      <c r="D75" s="4" t="n">
        <f aca="false">INDEX(table_mortality_rate!$A$1:$C$2000,MATCH(C75,table_mortality_rate!$A$1:$A$2000,0),MATCH(calc_cohort!$E$2,table_mortality_rate!A$1:C$1,0))</f>
        <v>0.000765</v>
      </c>
      <c r="E75" s="0" t="n">
        <f aca="false">(1-D75)^constant!$B$1</f>
        <v>0.999936227636725</v>
      </c>
      <c r="F75" s="0" t="n">
        <f aca="false">IF(A75=0,1,F74*E75)</f>
        <v>0.995974281139536</v>
      </c>
      <c r="G75" s="5" t="b">
        <f aca="false">B75&gt;=calc_cohort!C$2</f>
        <v>0</v>
      </c>
      <c r="H75" s="0" t="n">
        <f aca="false">IF(G75,1,0)</f>
        <v>0</v>
      </c>
      <c r="I75" s="0" t="n">
        <f aca="false">calc_cohort!$B$2*constant!$B$1*F75*H75</f>
        <v>0</v>
      </c>
      <c r="J75" s="0" t="n">
        <f aca="false">INDEX(table_spot_rate!B$1:B$2000,MATCH(A75,table_spot_rate!A$1:A$2000,0))</f>
        <v>0.0508622464799566</v>
      </c>
      <c r="K75" s="0" t="n">
        <f aca="false">(1+J75)^(-A75*constant!$B$1)</f>
        <v>0.739485698073821</v>
      </c>
      <c r="L75" s="0" t="n">
        <f aca="false">K75*I75</f>
        <v>0</v>
      </c>
    </row>
    <row r="76" customFormat="false" ht="12.8" hidden="false" customHeight="false" outlineLevel="0" collapsed="false">
      <c r="A76" s="0" t="n">
        <v>74</v>
      </c>
      <c r="B76" s="0" t="n">
        <f aca="false">calc_cohort!D$2+constant!$B$1*A76</f>
        <v>37.3666666666667</v>
      </c>
      <c r="C76" s="0" t="n">
        <f aca="false">_xlfn.FLOOR.MATH(B76)</f>
        <v>37</v>
      </c>
      <c r="D76" s="4" t="n">
        <f aca="false">INDEX(table_mortality_rate!$A$1:$C$2000,MATCH(C76,table_mortality_rate!$A$1:$A$2000,0),MATCH(calc_cohort!$E$2,table_mortality_rate!A$1:C$1,0))</f>
        <v>0.000765</v>
      </c>
      <c r="E76" s="0" t="n">
        <f aca="false">(1-D76)^constant!$B$1</f>
        <v>0.999936227636725</v>
      </c>
      <c r="F76" s="0" t="n">
        <f aca="false">IF(A76=0,1,F75*E76)</f>
        <v>0.995910765505867</v>
      </c>
      <c r="G76" s="5" t="b">
        <f aca="false">B76&gt;=calc_cohort!C$2</f>
        <v>0</v>
      </c>
      <c r="H76" s="0" t="n">
        <f aca="false">IF(G76,1,0)</f>
        <v>0</v>
      </c>
      <c r="I76" s="0" t="n">
        <f aca="false">calc_cohort!$B$2*constant!$B$1*F76*H76</f>
        <v>0</v>
      </c>
      <c r="J76" s="0" t="n">
        <f aca="false">INDEX(table_spot_rate!B$1:B$2000,MATCH(A76,table_spot_rate!A$1:A$2000,0))</f>
        <v>0.0568647963971738</v>
      </c>
      <c r="K76" s="0" t="n">
        <f aca="false">(1+J76)^(-A76*constant!$B$1)</f>
        <v>0.71101730222861</v>
      </c>
      <c r="L76" s="0" t="n">
        <f aca="false">K76*I76</f>
        <v>0</v>
      </c>
    </row>
    <row r="77" customFormat="false" ht="12.8" hidden="false" customHeight="false" outlineLevel="0" collapsed="false">
      <c r="A77" s="0" t="n">
        <v>75</v>
      </c>
      <c r="B77" s="0" t="n">
        <f aca="false">calc_cohort!D$2+constant!$B$1*A77</f>
        <v>37.45</v>
      </c>
      <c r="C77" s="0" t="n">
        <f aca="false">_xlfn.FLOOR.MATH(B77)</f>
        <v>37</v>
      </c>
      <c r="D77" s="4" t="n">
        <f aca="false">INDEX(table_mortality_rate!$A$1:$C$2000,MATCH(C77,table_mortality_rate!$A$1:$A$2000,0),MATCH(calc_cohort!$E$2,table_mortality_rate!A$1:C$1,0))</f>
        <v>0.000765</v>
      </c>
      <c r="E77" s="0" t="n">
        <f aca="false">(1-D77)^constant!$B$1</f>
        <v>0.999936227636725</v>
      </c>
      <c r="F77" s="0" t="n">
        <f aca="false">IF(A77=0,1,F76*E77)</f>
        <v>0.99584725392274</v>
      </c>
      <c r="G77" s="5" t="b">
        <f aca="false">B77&gt;=calc_cohort!C$2</f>
        <v>0</v>
      </c>
      <c r="H77" s="0" t="n">
        <f aca="false">IF(G77,1,0)</f>
        <v>0</v>
      </c>
      <c r="I77" s="0" t="n">
        <f aca="false">calc_cohort!$B$2*constant!$B$1*F77*H77</f>
        <v>0</v>
      </c>
      <c r="J77" s="0" t="n">
        <f aca="false">INDEX(table_spot_rate!B$1:B$2000,MATCH(A77,table_spot_rate!A$1:A$2000,0))</f>
        <v>0.0552148372535029</v>
      </c>
      <c r="K77" s="0" t="n">
        <f aca="false">(1+J77)^(-A77*constant!$B$1)</f>
        <v>0.714692859097638</v>
      </c>
      <c r="L77" s="0" t="n">
        <f aca="false">K77*I77</f>
        <v>0</v>
      </c>
    </row>
    <row r="78" customFormat="false" ht="12.8" hidden="false" customHeight="false" outlineLevel="0" collapsed="false">
      <c r="A78" s="0" t="n">
        <v>76</v>
      </c>
      <c r="B78" s="0" t="n">
        <f aca="false">calc_cohort!D$2+constant!$B$1*A78</f>
        <v>37.5333333333333</v>
      </c>
      <c r="C78" s="0" t="n">
        <f aca="false">_xlfn.FLOOR.MATH(B78)</f>
        <v>37</v>
      </c>
      <c r="D78" s="4" t="n">
        <f aca="false">INDEX(table_mortality_rate!$A$1:$C$2000,MATCH(C78,table_mortality_rate!$A$1:$A$2000,0),MATCH(calc_cohort!$E$2,table_mortality_rate!A$1:C$1,0))</f>
        <v>0.000765</v>
      </c>
      <c r="E78" s="0" t="n">
        <f aca="false">(1-D78)^constant!$B$1</f>
        <v>0.999936227636725</v>
      </c>
      <c r="F78" s="0" t="n">
        <f aca="false">IF(A78=0,1,F77*E78)</f>
        <v>0.995783746389897</v>
      </c>
      <c r="G78" s="5" t="b">
        <f aca="false">B78&gt;=calc_cohort!C$2</f>
        <v>0</v>
      </c>
      <c r="H78" s="0" t="n">
        <f aca="false">IF(G78,1,0)</f>
        <v>0</v>
      </c>
      <c r="I78" s="0" t="n">
        <f aca="false">calc_cohort!$B$2*constant!$B$1*F78*H78</f>
        <v>0</v>
      </c>
      <c r="J78" s="0" t="n">
        <f aca="false">INDEX(table_spot_rate!B$1:B$2000,MATCH(A78,table_spot_rate!A$1:A$2000,0))</f>
        <v>0.0554733932516602</v>
      </c>
      <c r="K78" s="0" t="n">
        <f aca="false">(1+J78)^(-A78*constant!$B$1)</f>
        <v>0.710395983127613</v>
      </c>
      <c r="L78" s="0" t="n">
        <f aca="false">K78*I78</f>
        <v>0</v>
      </c>
    </row>
    <row r="79" customFormat="false" ht="12.8" hidden="false" customHeight="false" outlineLevel="0" collapsed="false">
      <c r="A79" s="0" t="n">
        <v>77</v>
      </c>
      <c r="B79" s="0" t="n">
        <f aca="false">calc_cohort!D$2+constant!$B$1*A79</f>
        <v>37.6166666666667</v>
      </c>
      <c r="C79" s="0" t="n">
        <f aca="false">_xlfn.FLOOR.MATH(B79)</f>
        <v>37</v>
      </c>
      <c r="D79" s="4" t="n">
        <f aca="false">INDEX(table_mortality_rate!$A$1:$C$2000,MATCH(C79,table_mortality_rate!$A$1:$A$2000,0),MATCH(calc_cohort!$E$2,table_mortality_rate!A$1:C$1,0))</f>
        <v>0.000765</v>
      </c>
      <c r="E79" s="0" t="n">
        <f aca="false">(1-D79)^constant!$B$1</f>
        <v>0.999936227636725</v>
      </c>
      <c r="F79" s="0" t="n">
        <f aca="false">IF(A79=0,1,F78*E79)</f>
        <v>0.995720242907079</v>
      </c>
      <c r="G79" s="5" t="b">
        <f aca="false">B79&gt;=calc_cohort!C$2</f>
        <v>0</v>
      </c>
      <c r="H79" s="0" t="n">
        <f aca="false">IF(G79,1,0)</f>
        <v>0</v>
      </c>
      <c r="I79" s="0" t="n">
        <f aca="false">calc_cohort!$B$2*constant!$B$1*F79*H79</f>
        <v>0</v>
      </c>
      <c r="J79" s="0" t="n">
        <f aca="false">INDEX(table_spot_rate!B$1:B$2000,MATCH(A79,table_spot_rate!A$1:A$2000,0))</f>
        <v>0.0592113286240303</v>
      </c>
      <c r="K79" s="0" t="n">
        <f aca="false">(1+J79)^(-A79*constant!$B$1)</f>
        <v>0.691345075925038</v>
      </c>
      <c r="L79" s="0" t="n">
        <f aca="false">K79*I79</f>
        <v>0</v>
      </c>
    </row>
    <row r="80" customFormat="false" ht="12.8" hidden="false" customHeight="false" outlineLevel="0" collapsed="false">
      <c r="A80" s="0" t="n">
        <v>78</v>
      </c>
      <c r="B80" s="0" t="n">
        <f aca="false">calc_cohort!D$2+constant!$B$1*A80</f>
        <v>37.7</v>
      </c>
      <c r="C80" s="0" t="n">
        <f aca="false">_xlfn.FLOOR.MATH(B80)</f>
        <v>37</v>
      </c>
      <c r="D80" s="4" t="n">
        <f aca="false">INDEX(table_mortality_rate!$A$1:$C$2000,MATCH(C80,table_mortality_rate!$A$1:$A$2000,0),MATCH(calc_cohort!$E$2,table_mortality_rate!A$1:C$1,0))</f>
        <v>0.000765</v>
      </c>
      <c r="E80" s="0" t="n">
        <f aca="false">(1-D80)^constant!$B$1</f>
        <v>0.999936227636725</v>
      </c>
      <c r="F80" s="0" t="n">
        <f aca="false">IF(A80=0,1,F79*E80)</f>
        <v>0.995656743474028</v>
      </c>
      <c r="G80" s="5" t="b">
        <f aca="false">B80&gt;=calc_cohort!C$2</f>
        <v>0</v>
      </c>
      <c r="H80" s="0" t="n">
        <f aca="false">IF(G80,1,0)</f>
        <v>0</v>
      </c>
      <c r="I80" s="0" t="n">
        <f aca="false">calc_cohort!$B$2*constant!$B$1*F80*H80</f>
        <v>0</v>
      </c>
      <c r="J80" s="0" t="n">
        <f aca="false">INDEX(table_spot_rate!B$1:B$2000,MATCH(A80,table_spot_rate!A$1:A$2000,0))</f>
        <v>0.0553587999508208</v>
      </c>
      <c r="K80" s="0" t="n">
        <f aca="false">(1+J80)^(-A80*constant!$B$1)</f>
        <v>0.70452939420227</v>
      </c>
      <c r="L80" s="0" t="n">
        <f aca="false">K80*I80</f>
        <v>0</v>
      </c>
    </row>
    <row r="81" customFormat="false" ht="12.8" hidden="false" customHeight="false" outlineLevel="0" collapsed="false">
      <c r="A81" s="0" t="n">
        <v>79</v>
      </c>
      <c r="B81" s="0" t="n">
        <f aca="false">calc_cohort!D$2+constant!$B$1*A81</f>
        <v>37.7833333333333</v>
      </c>
      <c r="C81" s="0" t="n">
        <f aca="false">_xlfn.FLOOR.MATH(B81)</f>
        <v>37</v>
      </c>
      <c r="D81" s="4" t="n">
        <f aca="false">INDEX(table_mortality_rate!$A$1:$C$2000,MATCH(C81,table_mortality_rate!$A$1:$A$2000,0),MATCH(calc_cohort!$E$2,table_mortality_rate!A$1:C$1,0))</f>
        <v>0.000765</v>
      </c>
      <c r="E81" s="0" t="n">
        <f aca="false">(1-D81)^constant!$B$1</f>
        <v>0.999936227636725</v>
      </c>
      <c r="F81" s="0" t="n">
        <f aca="false">IF(A81=0,1,F80*E81)</f>
        <v>0.995593248090487</v>
      </c>
      <c r="G81" s="5" t="b">
        <f aca="false">B81&gt;=calc_cohort!C$2</f>
        <v>0</v>
      </c>
      <c r="H81" s="0" t="n">
        <f aca="false">IF(G81,1,0)</f>
        <v>0</v>
      </c>
      <c r="I81" s="0" t="n">
        <f aca="false">calc_cohort!$B$2*constant!$B$1*F81*H81</f>
        <v>0</v>
      </c>
      <c r="J81" s="0" t="n">
        <f aca="false">INDEX(table_spot_rate!B$1:B$2000,MATCH(A81,table_spot_rate!A$1:A$2000,0))</f>
        <v>0.0532176194384626</v>
      </c>
      <c r="K81" s="0" t="n">
        <f aca="false">(1+J81)^(-A81*constant!$B$1)</f>
        <v>0.71081361406703</v>
      </c>
      <c r="L81" s="0" t="n">
        <f aca="false">K81*I81</f>
        <v>0</v>
      </c>
    </row>
    <row r="82" customFormat="false" ht="12.8" hidden="false" customHeight="false" outlineLevel="0" collapsed="false">
      <c r="A82" s="0" t="n">
        <v>80</v>
      </c>
      <c r="B82" s="0" t="n">
        <f aca="false">calc_cohort!D$2+constant!$B$1*A82</f>
        <v>37.8666666666667</v>
      </c>
      <c r="C82" s="0" t="n">
        <f aca="false">_xlfn.FLOOR.MATH(B82)</f>
        <v>37</v>
      </c>
      <c r="D82" s="4" t="n">
        <f aca="false">INDEX(table_mortality_rate!$A$1:$C$2000,MATCH(C82,table_mortality_rate!$A$1:$A$2000,0),MATCH(calc_cohort!$E$2,table_mortality_rate!A$1:C$1,0))</f>
        <v>0.000765</v>
      </c>
      <c r="E82" s="0" t="n">
        <f aca="false">(1-D82)^constant!$B$1</f>
        <v>0.999936227636725</v>
      </c>
      <c r="F82" s="0" t="n">
        <f aca="false">IF(A82=0,1,F81*E82)</f>
        <v>0.995529756756196</v>
      </c>
      <c r="G82" s="5" t="b">
        <f aca="false">B82&gt;=calc_cohort!C$2</f>
        <v>0</v>
      </c>
      <c r="H82" s="0" t="n">
        <f aca="false">IF(G82,1,0)</f>
        <v>0</v>
      </c>
      <c r="I82" s="0" t="n">
        <f aca="false">calc_cohort!$B$2*constant!$B$1*F82*H82</f>
        <v>0</v>
      </c>
      <c r="J82" s="0" t="n">
        <f aca="false">INDEX(table_spot_rate!B$1:B$2000,MATCH(A82,table_spot_rate!A$1:A$2000,0))</f>
        <v>0.051655245764068</v>
      </c>
      <c r="K82" s="0" t="n">
        <f aca="false">(1+J82)^(-A82*constant!$B$1)</f>
        <v>0.714788214954753</v>
      </c>
      <c r="L82" s="0" t="n">
        <f aca="false">K82*I82</f>
        <v>0</v>
      </c>
    </row>
    <row r="83" customFormat="false" ht="12.8" hidden="false" customHeight="false" outlineLevel="0" collapsed="false">
      <c r="A83" s="0" t="n">
        <v>81</v>
      </c>
      <c r="B83" s="0" t="n">
        <f aca="false">calc_cohort!D$2+constant!$B$1*A83</f>
        <v>37.95</v>
      </c>
      <c r="C83" s="0" t="n">
        <f aca="false">_xlfn.FLOOR.MATH(B83)</f>
        <v>37</v>
      </c>
      <c r="D83" s="4" t="n">
        <f aca="false">INDEX(table_mortality_rate!$A$1:$C$2000,MATCH(C83,table_mortality_rate!$A$1:$A$2000,0),MATCH(calc_cohort!$E$2,table_mortality_rate!A$1:C$1,0))</f>
        <v>0.000765</v>
      </c>
      <c r="E83" s="0" t="n">
        <f aca="false">(1-D83)^constant!$B$1</f>
        <v>0.999936227636725</v>
      </c>
      <c r="F83" s="0" t="n">
        <f aca="false">IF(A83=0,1,F82*E83)</f>
        <v>0.995466269470897</v>
      </c>
      <c r="G83" s="5" t="b">
        <f aca="false">B83&gt;=calc_cohort!C$2</f>
        <v>0</v>
      </c>
      <c r="H83" s="0" t="n">
        <f aca="false">IF(G83,1,0)</f>
        <v>0</v>
      </c>
      <c r="I83" s="0" t="n">
        <f aca="false">calc_cohort!$B$2*constant!$B$1*F83*H83</f>
        <v>0</v>
      </c>
      <c r="J83" s="0" t="n">
        <f aca="false">INDEX(table_spot_rate!B$1:B$2000,MATCH(A83,table_spot_rate!A$1:A$2000,0))</f>
        <v>0.0535965238239817</v>
      </c>
      <c r="K83" s="0" t="n">
        <f aca="false">(1+J83)^(-A83*constant!$B$1)</f>
        <v>0.702988594220711</v>
      </c>
      <c r="L83" s="0" t="n">
        <f aca="false">K83*I83</f>
        <v>0</v>
      </c>
    </row>
    <row r="84" customFormat="false" ht="12.8" hidden="false" customHeight="false" outlineLevel="0" collapsed="false">
      <c r="A84" s="0" t="n">
        <v>82</v>
      </c>
      <c r="B84" s="0" t="n">
        <f aca="false">calc_cohort!D$2+constant!$B$1*A84</f>
        <v>38.0333333333333</v>
      </c>
      <c r="C84" s="0" t="n">
        <f aca="false">_xlfn.FLOOR.MATH(B84)</f>
        <v>38</v>
      </c>
      <c r="D84" s="4" t="n">
        <f aca="false">INDEX(table_mortality_rate!$A$1:$C$2000,MATCH(C84,table_mortality_rate!$A$1:$A$2000,0),MATCH(calc_cohort!$E$2,table_mortality_rate!A$1:C$1,0))</f>
        <v>0.000813</v>
      </c>
      <c r="E84" s="0" t="n">
        <f aca="false">(1-D84)^constant!$B$1</f>
        <v>0.999932224741536</v>
      </c>
      <c r="F84" s="0" t="n">
        <f aca="false">IF(A84=0,1,F83*E84)</f>
        <v>0.995398801487191</v>
      </c>
      <c r="G84" s="5" t="b">
        <f aca="false">B84&gt;=calc_cohort!C$2</f>
        <v>0</v>
      </c>
      <c r="H84" s="0" t="n">
        <f aca="false">IF(G84,1,0)</f>
        <v>0</v>
      </c>
      <c r="I84" s="0" t="n">
        <f aca="false">calc_cohort!$B$2*constant!$B$1*F84*H84</f>
        <v>0</v>
      </c>
      <c r="J84" s="0" t="n">
        <f aca="false">INDEX(table_spot_rate!B$1:B$2000,MATCH(A84,table_spot_rate!A$1:A$2000,0))</f>
        <v>0.0515278727352787</v>
      </c>
      <c r="K84" s="0" t="n">
        <f aca="false">(1+J84)^(-A84*constant!$B$1)</f>
        <v>0.709400149011044</v>
      </c>
      <c r="L84" s="0" t="n">
        <f aca="false">K84*I84</f>
        <v>0</v>
      </c>
    </row>
    <row r="85" customFormat="false" ht="12.8" hidden="false" customHeight="false" outlineLevel="0" collapsed="false">
      <c r="A85" s="0" t="n">
        <v>83</v>
      </c>
      <c r="B85" s="0" t="n">
        <f aca="false">calc_cohort!D$2+constant!$B$1*A85</f>
        <v>38.1166666666667</v>
      </c>
      <c r="C85" s="0" t="n">
        <f aca="false">_xlfn.FLOOR.MATH(B85)</f>
        <v>38</v>
      </c>
      <c r="D85" s="4" t="n">
        <f aca="false">INDEX(table_mortality_rate!$A$1:$C$2000,MATCH(C85,table_mortality_rate!$A$1:$A$2000,0),MATCH(calc_cohort!$E$2,table_mortality_rate!A$1:C$1,0))</f>
        <v>0.000813</v>
      </c>
      <c r="E85" s="0" t="n">
        <f aca="false">(1-D85)^constant!$B$1</f>
        <v>0.999932224741536</v>
      </c>
      <c r="F85" s="0" t="n">
        <f aca="false">IF(A85=0,1,F84*E85)</f>
        <v>0.995331338076145</v>
      </c>
      <c r="G85" s="5" t="b">
        <f aca="false">B85&gt;=calc_cohort!C$2</f>
        <v>0</v>
      </c>
      <c r="H85" s="0" t="n">
        <f aca="false">IF(G85,1,0)</f>
        <v>0</v>
      </c>
      <c r="I85" s="0" t="n">
        <f aca="false">calc_cohort!$B$2*constant!$B$1*F85*H85</f>
        <v>0</v>
      </c>
      <c r="J85" s="0" t="n">
        <f aca="false">INDEX(table_spot_rate!B$1:B$2000,MATCH(A85,table_spot_rate!A$1:A$2000,0))</f>
        <v>0.0589785107539671</v>
      </c>
      <c r="K85" s="0" t="n">
        <f aca="false">(1+J85)^(-A85*constant!$B$1)</f>
        <v>0.672765787250907</v>
      </c>
      <c r="L85" s="0" t="n">
        <f aca="false">K85*I85</f>
        <v>0</v>
      </c>
    </row>
    <row r="86" customFormat="false" ht="12.8" hidden="false" customHeight="false" outlineLevel="0" collapsed="false">
      <c r="A86" s="0" t="n">
        <v>84</v>
      </c>
      <c r="B86" s="0" t="n">
        <f aca="false">calc_cohort!D$2+constant!$B$1*A86</f>
        <v>38.2</v>
      </c>
      <c r="C86" s="0" t="n">
        <f aca="false">_xlfn.FLOOR.MATH(B86)</f>
        <v>38</v>
      </c>
      <c r="D86" s="4" t="n">
        <f aca="false">INDEX(table_mortality_rate!$A$1:$C$2000,MATCH(C86,table_mortality_rate!$A$1:$A$2000,0),MATCH(calc_cohort!$E$2,table_mortality_rate!A$1:C$1,0))</f>
        <v>0.000813</v>
      </c>
      <c r="E86" s="0" t="n">
        <f aca="false">(1-D86)^constant!$B$1</f>
        <v>0.999932224741536</v>
      </c>
      <c r="F86" s="0" t="n">
        <f aca="false">IF(A86=0,1,F85*E86)</f>
        <v>0.99526387923745</v>
      </c>
      <c r="G86" s="5" t="b">
        <f aca="false">B86&gt;=calc_cohort!C$2</f>
        <v>0</v>
      </c>
      <c r="H86" s="0" t="n">
        <f aca="false">IF(G86,1,0)</f>
        <v>0</v>
      </c>
      <c r="I86" s="0" t="n">
        <f aca="false">calc_cohort!$B$2*constant!$B$1*F86*H86</f>
        <v>0</v>
      </c>
      <c r="J86" s="0" t="n">
        <f aca="false">INDEX(table_spot_rate!B$1:B$2000,MATCH(A86,table_spot_rate!A$1:A$2000,0))</f>
        <v>0.0587062620152601</v>
      </c>
      <c r="K86" s="0" t="n">
        <f aca="false">(1+J86)^(-A86*constant!$B$1)</f>
        <v>0.670766905473659</v>
      </c>
      <c r="L86" s="0" t="n">
        <f aca="false">K86*I86</f>
        <v>0</v>
      </c>
    </row>
    <row r="87" customFormat="false" ht="12.8" hidden="false" customHeight="false" outlineLevel="0" collapsed="false">
      <c r="A87" s="0" t="n">
        <v>85</v>
      </c>
      <c r="B87" s="0" t="n">
        <f aca="false">calc_cohort!D$2+constant!$B$1*A87</f>
        <v>38.2833333333333</v>
      </c>
      <c r="C87" s="0" t="n">
        <f aca="false">_xlfn.FLOOR.MATH(B87)</f>
        <v>38</v>
      </c>
      <c r="D87" s="4" t="n">
        <f aca="false">INDEX(table_mortality_rate!$A$1:$C$2000,MATCH(C87,table_mortality_rate!$A$1:$A$2000,0),MATCH(calc_cohort!$E$2,table_mortality_rate!A$1:C$1,0))</f>
        <v>0.000813</v>
      </c>
      <c r="E87" s="0" t="n">
        <f aca="false">(1-D87)^constant!$B$1</f>
        <v>0.999932224741536</v>
      </c>
      <c r="F87" s="0" t="n">
        <f aca="false">IF(A87=0,1,F86*E87)</f>
        <v>0.995196424970794</v>
      </c>
      <c r="G87" s="5" t="b">
        <f aca="false">B87&gt;=calc_cohort!C$2</f>
        <v>0</v>
      </c>
      <c r="H87" s="0" t="n">
        <f aca="false">IF(G87,1,0)</f>
        <v>0</v>
      </c>
      <c r="I87" s="0" t="n">
        <f aca="false">calc_cohort!$B$2*constant!$B$1*F87*H87</f>
        <v>0</v>
      </c>
      <c r="J87" s="0" t="n">
        <f aca="false">INDEX(table_spot_rate!B$1:B$2000,MATCH(A87,table_spot_rate!A$1:A$2000,0))</f>
        <v>0.0530496244705187</v>
      </c>
      <c r="K87" s="0" t="n">
        <f aca="false">(1+J87)^(-A87*constant!$B$1)</f>
        <v>0.693405688866546</v>
      </c>
      <c r="L87" s="0" t="n">
        <f aca="false">K87*I87</f>
        <v>0</v>
      </c>
    </row>
    <row r="88" customFormat="false" ht="12.8" hidden="false" customHeight="false" outlineLevel="0" collapsed="false">
      <c r="A88" s="0" t="n">
        <v>86</v>
      </c>
      <c r="B88" s="0" t="n">
        <f aca="false">calc_cohort!D$2+constant!$B$1*A88</f>
        <v>38.3666666666667</v>
      </c>
      <c r="C88" s="0" t="n">
        <f aca="false">_xlfn.FLOOR.MATH(B88)</f>
        <v>38</v>
      </c>
      <c r="D88" s="4" t="n">
        <f aca="false">INDEX(table_mortality_rate!$A$1:$C$2000,MATCH(C88,table_mortality_rate!$A$1:$A$2000,0),MATCH(calc_cohort!$E$2,table_mortality_rate!A$1:C$1,0))</f>
        <v>0.000813</v>
      </c>
      <c r="E88" s="0" t="n">
        <f aca="false">(1-D88)^constant!$B$1</f>
        <v>0.999932224741536</v>
      </c>
      <c r="F88" s="0" t="n">
        <f aca="false">IF(A88=0,1,F87*E88)</f>
        <v>0.995128975275869</v>
      </c>
      <c r="G88" s="5" t="b">
        <f aca="false">B88&gt;=calc_cohort!C$2</f>
        <v>0</v>
      </c>
      <c r="H88" s="0" t="n">
        <f aca="false">IF(G88,1,0)</f>
        <v>0</v>
      </c>
      <c r="I88" s="0" t="n">
        <f aca="false">calc_cohort!$B$2*constant!$B$1*F88*H88</f>
        <v>0</v>
      </c>
      <c r="J88" s="0" t="n">
        <f aca="false">INDEX(table_spot_rate!B$1:B$2000,MATCH(A88,table_spot_rate!A$1:A$2000,0))</f>
        <v>0.056056961898913</v>
      </c>
      <c r="K88" s="0" t="n">
        <f aca="false">(1+J88)^(-A88*constant!$B$1)</f>
        <v>0.676457789104394</v>
      </c>
      <c r="L88" s="0" t="n">
        <f aca="false">K88*I88</f>
        <v>0</v>
      </c>
    </row>
    <row r="89" customFormat="false" ht="12.8" hidden="false" customHeight="false" outlineLevel="0" collapsed="false">
      <c r="A89" s="0" t="n">
        <v>87</v>
      </c>
      <c r="B89" s="0" t="n">
        <f aca="false">calc_cohort!D$2+constant!$B$1*A89</f>
        <v>38.45</v>
      </c>
      <c r="C89" s="0" t="n">
        <f aca="false">_xlfn.FLOOR.MATH(B89)</f>
        <v>38</v>
      </c>
      <c r="D89" s="4" t="n">
        <f aca="false">INDEX(table_mortality_rate!$A$1:$C$2000,MATCH(C89,table_mortality_rate!$A$1:$A$2000,0),MATCH(calc_cohort!$E$2,table_mortality_rate!A$1:C$1,0))</f>
        <v>0.000813</v>
      </c>
      <c r="E89" s="0" t="n">
        <f aca="false">(1-D89)^constant!$B$1</f>
        <v>0.999932224741536</v>
      </c>
      <c r="F89" s="0" t="n">
        <f aca="false">IF(A89=0,1,F88*E89)</f>
        <v>0.995061530152364</v>
      </c>
      <c r="G89" s="5" t="b">
        <f aca="false">B89&gt;=calc_cohort!C$2</f>
        <v>0</v>
      </c>
      <c r="H89" s="0" t="n">
        <f aca="false">IF(G89,1,0)</f>
        <v>0</v>
      </c>
      <c r="I89" s="0" t="n">
        <f aca="false">calc_cohort!$B$2*constant!$B$1*F89*H89</f>
        <v>0</v>
      </c>
      <c r="J89" s="0" t="n">
        <f aca="false">INDEX(table_spot_rate!B$1:B$2000,MATCH(A89,table_spot_rate!A$1:A$2000,0))</f>
        <v>0.0588665301770658</v>
      </c>
      <c r="K89" s="0" t="n">
        <f aca="false">(1+J89)^(-A89*constant!$B$1)</f>
        <v>0.660543082427028</v>
      </c>
      <c r="L89" s="0" t="n">
        <f aca="false">K89*I89</f>
        <v>0</v>
      </c>
    </row>
    <row r="90" customFormat="false" ht="12.8" hidden="false" customHeight="false" outlineLevel="0" collapsed="false">
      <c r="A90" s="0" t="n">
        <v>88</v>
      </c>
      <c r="B90" s="0" t="n">
        <f aca="false">calc_cohort!D$2+constant!$B$1*A90</f>
        <v>38.5333333333333</v>
      </c>
      <c r="C90" s="0" t="n">
        <f aca="false">_xlfn.FLOOR.MATH(B90)</f>
        <v>38</v>
      </c>
      <c r="D90" s="4" t="n">
        <f aca="false">INDEX(table_mortality_rate!$A$1:$C$2000,MATCH(C90,table_mortality_rate!$A$1:$A$2000,0),MATCH(calc_cohort!$E$2,table_mortality_rate!A$1:C$1,0))</f>
        <v>0.000813</v>
      </c>
      <c r="E90" s="0" t="n">
        <f aca="false">(1-D90)^constant!$B$1</f>
        <v>0.999932224741536</v>
      </c>
      <c r="F90" s="0" t="n">
        <f aca="false">IF(A90=0,1,F89*E90)</f>
        <v>0.99499408959997</v>
      </c>
      <c r="G90" s="5" t="b">
        <f aca="false">B90&gt;=calc_cohort!C$2</f>
        <v>0</v>
      </c>
      <c r="H90" s="0" t="n">
        <f aca="false">IF(G90,1,0)</f>
        <v>0</v>
      </c>
      <c r="I90" s="0" t="n">
        <f aca="false">calc_cohort!$B$2*constant!$B$1*F90*H90</f>
        <v>0</v>
      </c>
      <c r="J90" s="0" t="n">
        <f aca="false">INDEX(table_spot_rate!B$1:B$2000,MATCH(A90,table_spot_rate!A$1:A$2000,0))</f>
        <v>0.053608067870554</v>
      </c>
      <c r="K90" s="0" t="n">
        <f aca="false">(1+J90)^(-A90*constant!$B$1)</f>
        <v>0.681846619245887</v>
      </c>
      <c r="L90" s="0" t="n">
        <f aca="false">K90*I90</f>
        <v>0</v>
      </c>
    </row>
    <row r="91" customFormat="false" ht="12.8" hidden="false" customHeight="false" outlineLevel="0" collapsed="false">
      <c r="A91" s="0" t="n">
        <v>89</v>
      </c>
      <c r="B91" s="0" t="n">
        <f aca="false">calc_cohort!D$2+constant!$B$1*A91</f>
        <v>38.6166666666667</v>
      </c>
      <c r="C91" s="0" t="n">
        <f aca="false">_xlfn.FLOOR.MATH(B91)</f>
        <v>38</v>
      </c>
      <c r="D91" s="4" t="n">
        <f aca="false">INDEX(table_mortality_rate!$A$1:$C$2000,MATCH(C91,table_mortality_rate!$A$1:$A$2000,0),MATCH(calc_cohort!$E$2,table_mortality_rate!A$1:C$1,0))</f>
        <v>0.000813</v>
      </c>
      <c r="E91" s="0" t="n">
        <f aca="false">(1-D91)^constant!$B$1</f>
        <v>0.999932224741536</v>
      </c>
      <c r="F91" s="0" t="n">
        <f aca="false">IF(A91=0,1,F90*E91)</f>
        <v>0.994926653618377</v>
      </c>
      <c r="G91" s="5" t="b">
        <f aca="false">B91&gt;=calc_cohort!C$2</f>
        <v>0</v>
      </c>
      <c r="H91" s="0" t="n">
        <f aca="false">IF(G91,1,0)</f>
        <v>0</v>
      </c>
      <c r="I91" s="0" t="n">
        <f aca="false">calc_cohort!$B$2*constant!$B$1*F91*H91</f>
        <v>0</v>
      </c>
      <c r="J91" s="0" t="n">
        <f aca="false">INDEX(table_spot_rate!B$1:B$2000,MATCH(A91,table_spot_rate!A$1:A$2000,0))</f>
        <v>0.0530586150818509</v>
      </c>
      <c r="K91" s="0" t="n">
        <f aca="false">(1+J91)^(-A91*constant!$B$1)</f>
        <v>0.681517409725047</v>
      </c>
      <c r="L91" s="0" t="n">
        <f aca="false">K91*I91</f>
        <v>0</v>
      </c>
    </row>
    <row r="92" customFormat="false" ht="12.8" hidden="false" customHeight="false" outlineLevel="0" collapsed="false">
      <c r="A92" s="0" t="n">
        <v>90</v>
      </c>
      <c r="B92" s="0" t="n">
        <f aca="false">calc_cohort!D$2+constant!$B$1*A92</f>
        <v>38.7</v>
      </c>
      <c r="C92" s="0" t="n">
        <f aca="false">_xlfn.FLOOR.MATH(B92)</f>
        <v>38</v>
      </c>
      <c r="D92" s="4" t="n">
        <f aca="false">INDEX(table_mortality_rate!$A$1:$C$2000,MATCH(C92,table_mortality_rate!$A$1:$A$2000,0),MATCH(calc_cohort!$E$2,table_mortality_rate!A$1:C$1,0))</f>
        <v>0.000813</v>
      </c>
      <c r="E92" s="0" t="n">
        <f aca="false">(1-D92)^constant!$B$1</f>
        <v>0.999932224741536</v>
      </c>
      <c r="F92" s="0" t="n">
        <f aca="false">IF(A92=0,1,F91*E92)</f>
        <v>0.994859222207275</v>
      </c>
      <c r="G92" s="5" t="b">
        <f aca="false">B92&gt;=calc_cohort!C$2</f>
        <v>0</v>
      </c>
      <c r="H92" s="0" t="n">
        <f aca="false">IF(G92,1,0)</f>
        <v>0</v>
      </c>
      <c r="I92" s="0" t="n">
        <f aca="false">calc_cohort!$B$2*constant!$B$1*F92*H92</f>
        <v>0</v>
      </c>
      <c r="J92" s="0" t="n">
        <f aca="false">INDEX(table_spot_rate!B$1:B$2000,MATCH(A92,table_spot_rate!A$1:A$2000,0))</f>
        <v>0.0511387713067562</v>
      </c>
      <c r="K92" s="0" t="n">
        <f aca="false">(1+J92)^(-A92*constant!$B$1)</f>
        <v>0.687938452012112</v>
      </c>
      <c r="L92" s="0" t="n">
        <f aca="false">K92*I92</f>
        <v>0</v>
      </c>
    </row>
    <row r="93" customFormat="false" ht="12.8" hidden="false" customHeight="false" outlineLevel="0" collapsed="false">
      <c r="A93" s="0" t="n">
        <v>91</v>
      </c>
      <c r="B93" s="0" t="n">
        <f aca="false">calc_cohort!D$2+constant!$B$1*A93</f>
        <v>38.7833333333333</v>
      </c>
      <c r="C93" s="0" t="n">
        <f aca="false">_xlfn.FLOOR.MATH(B93)</f>
        <v>38</v>
      </c>
      <c r="D93" s="4" t="n">
        <f aca="false">INDEX(table_mortality_rate!$A$1:$C$2000,MATCH(C93,table_mortality_rate!$A$1:$A$2000,0),MATCH(calc_cohort!$E$2,table_mortality_rate!A$1:C$1,0))</f>
        <v>0.000813</v>
      </c>
      <c r="E93" s="0" t="n">
        <f aca="false">(1-D93)^constant!$B$1</f>
        <v>0.999932224741536</v>
      </c>
      <c r="F93" s="0" t="n">
        <f aca="false">IF(A93=0,1,F92*E93)</f>
        <v>0.994791795366354</v>
      </c>
      <c r="G93" s="5" t="b">
        <f aca="false">B93&gt;=calc_cohort!C$2</f>
        <v>0</v>
      </c>
      <c r="H93" s="0" t="n">
        <f aca="false">IF(G93,1,0)</f>
        <v>0</v>
      </c>
      <c r="I93" s="0" t="n">
        <f aca="false">calc_cohort!$B$2*constant!$B$1*F93*H93</f>
        <v>0</v>
      </c>
      <c r="J93" s="0" t="n">
        <f aca="false">INDEX(table_spot_rate!B$1:B$2000,MATCH(A93,table_spot_rate!A$1:A$2000,0))</f>
        <v>0.0505422890560372</v>
      </c>
      <c r="K93" s="0" t="n">
        <f aca="false">(1+J93)^(-A93*constant!$B$1)</f>
        <v>0.688040484295692</v>
      </c>
      <c r="L93" s="0" t="n">
        <f aca="false">K93*I93</f>
        <v>0</v>
      </c>
    </row>
    <row r="94" customFormat="false" ht="12.8" hidden="false" customHeight="false" outlineLevel="0" collapsed="false">
      <c r="A94" s="0" t="n">
        <v>92</v>
      </c>
      <c r="B94" s="0" t="n">
        <f aca="false">calc_cohort!D$2+constant!$B$1*A94</f>
        <v>38.8666666666667</v>
      </c>
      <c r="C94" s="0" t="n">
        <f aca="false">_xlfn.FLOOR.MATH(B94)</f>
        <v>38</v>
      </c>
      <c r="D94" s="4" t="n">
        <f aca="false">INDEX(table_mortality_rate!$A$1:$C$2000,MATCH(C94,table_mortality_rate!$A$1:$A$2000,0),MATCH(calc_cohort!$E$2,table_mortality_rate!A$1:C$1,0))</f>
        <v>0.000813</v>
      </c>
      <c r="E94" s="0" t="n">
        <f aca="false">(1-D94)^constant!$B$1</f>
        <v>0.999932224741536</v>
      </c>
      <c r="F94" s="0" t="n">
        <f aca="false">IF(A94=0,1,F93*E94)</f>
        <v>0.994724373095305</v>
      </c>
      <c r="G94" s="5" t="b">
        <f aca="false">B94&gt;=calc_cohort!C$2</f>
        <v>0</v>
      </c>
      <c r="H94" s="0" t="n">
        <f aca="false">IF(G94,1,0)</f>
        <v>0</v>
      </c>
      <c r="I94" s="0" t="n">
        <f aca="false">calc_cohort!$B$2*constant!$B$1*F94*H94</f>
        <v>0</v>
      </c>
      <c r="J94" s="0" t="n">
        <f aca="false">INDEX(table_spot_rate!B$1:B$2000,MATCH(A94,table_spot_rate!A$1:A$2000,0))</f>
        <v>0.0510777403260852</v>
      </c>
      <c r="K94" s="0" t="n">
        <f aca="false">(1+J94)^(-A94*constant!$B$1)</f>
        <v>0.682547535965358</v>
      </c>
      <c r="L94" s="0" t="n">
        <f aca="false">K94*I94</f>
        <v>0</v>
      </c>
    </row>
    <row r="95" customFormat="false" ht="12.8" hidden="false" customHeight="false" outlineLevel="0" collapsed="false">
      <c r="A95" s="0" t="n">
        <v>93</v>
      </c>
      <c r="B95" s="0" t="n">
        <f aca="false">calc_cohort!D$2+constant!$B$1*A95</f>
        <v>38.95</v>
      </c>
      <c r="C95" s="0" t="n">
        <f aca="false">_xlfn.FLOOR.MATH(B95)</f>
        <v>38</v>
      </c>
      <c r="D95" s="4" t="n">
        <f aca="false">INDEX(table_mortality_rate!$A$1:$C$2000,MATCH(C95,table_mortality_rate!$A$1:$A$2000,0),MATCH(calc_cohort!$E$2,table_mortality_rate!A$1:C$1,0))</f>
        <v>0.000813</v>
      </c>
      <c r="E95" s="0" t="n">
        <f aca="false">(1-D95)^constant!$B$1</f>
        <v>0.999932224741536</v>
      </c>
      <c r="F95" s="0" t="n">
        <f aca="false">IF(A95=0,1,F94*E95)</f>
        <v>0.994656955393818</v>
      </c>
      <c r="G95" s="5" t="b">
        <f aca="false">B95&gt;=calc_cohort!C$2</f>
        <v>0</v>
      </c>
      <c r="H95" s="0" t="n">
        <f aca="false">IF(G95,1,0)</f>
        <v>0</v>
      </c>
      <c r="I95" s="0" t="n">
        <f aca="false">calc_cohort!$B$2*constant!$B$1*F95*H95</f>
        <v>0</v>
      </c>
      <c r="J95" s="0" t="n">
        <f aca="false">INDEX(table_spot_rate!B$1:B$2000,MATCH(A95,table_spot_rate!A$1:A$2000,0))</f>
        <v>0.0518977532494581</v>
      </c>
      <c r="K95" s="0" t="n">
        <f aca="false">(1+J95)^(-A95*constant!$B$1)</f>
        <v>0.675624145265818</v>
      </c>
      <c r="L95" s="0" t="n">
        <f aca="false">K95*I95</f>
        <v>0</v>
      </c>
    </row>
    <row r="96" customFormat="false" ht="12.8" hidden="false" customHeight="false" outlineLevel="0" collapsed="false">
      <c r="A96" s="0" t="n">
        <v>94</v>
      </c>
      <c r="B96" s="0" t="n">
        <f aca="false">calc_cohort!D$2+constant!$B$1*A96</f>
        <v>39.0333333333333</v>
      </c>
      <c r="C96" s="0" t="n">
        <f aca="false">_xlfn.FLOOR.MATH(B96)</f>
        <v>39</v>
      </c>
      <c r="D96" s="4" t="n">
        <f aca="false">INDEX(table_mortality_rate!$A$1:$C$2000,MATCH(C96,table_mortality_rate!$A$1:$A$2000,0),MATCH(calc_cohort!$E$2,table_mortality_rate!A$1:C$1,0))</f>
        <v>0.00087</v>
      </c>
      <c r="E96" s="0" t="n">
        <f aca="false">(1-D96)^constant!$B$1</f>
        <v>0.999927471074546</v>
      </c>
      <c r="F96" s="0" t="n">
        <f aca="false">IF(A96=0,1,F95*E96)</f>
        <v>0.994584813993648</v>
      </c>
      <c r="G96" s="5" t="b">
        <f aca="false">B96&gt;=calc_cohort!C$2</f>
        <v>0</v>
      </c>
      <c r="H96" s="0" t="n">
        <f aca="false">IF(G96,1,0)</f>
        <v>0</v>
      </c>
      <c r="I96" s="0" t="n">
        <f aca="false">calc_cohort!$B$2*constant!$B$1*F96*H96</f>
        <v>0</v>
      </c>
      <c r="J96" s="0" t="n">
        <f aca="false">INDEX(table_spot_rate!B$1:B$2000,MATCH(A96,table_spot_rate!A$1:A$2000,0))</f>
        <v>0.0502307273231617</v>
      </c>
      <c r="K96" s="0" t="n">
        <f aca="false">(1+J96)^(-A96*constant!$B$1)</f>
        <v>0.681192234964071</v>
      </c>
      <c r="L96" s="0" t="n">
        <f aca="false">K96*I96</f>
        <v>0</v>
      </c>
    </row>
    <row r="97" customFormat="false" ht="12.8" hidden="false" customHeight="false" outlineLevel="0" collapsed="false">
      <c r="A97" s="0" t="n">
        <v>95</v>
      </c>
      <c r="B97" s="0" t="n">
        <f aca="false">calc_cohort!D$2+constant!$B$1*A97</f>
        <v>39.1166666666667</v>
      </c>
      <c r="C97" s="0" t="n">
        <f aca="false">_xlfn.FLOOR.MATH(B97)</f>
        <v>39</v>
      </c>
      <c r="D97" s="4" t="n">
        <f aca="false">INDEX(table_mortality_rate!$A$1:$C$2000,MATCH(C97,table_mortality_rate!$A$1:$A$2000,0),MATCH(calc_cohort!$E$2,table_mortality_rate!A$1:C$1,0))</f>
        <v>0.00087</v>
      </c>
      <c r="E97" s="0" t="n">
        <f aca="false">(1-D97)^constant!$B$1</f>
        <v>0.999927471074546</v>
      </c>
      <c r="F97" s="0" t="n">
        <f aca="false">IF(A97=0,1,F96*E97)</f>
        <v>0.994512677825816</v>
      </c>
      <c r="G97" s="5" t="b">
        <f aca="false">B97&gt;=calc_cohort!C$2</f>
        <v>0</v>
      </c>
      <c r="H97" s="0" t="n">
        <f aca="false">IF(G97,1,0)</f>
        <v>0</v>
      </c>
      <c r="I97" s="0" t="n">
        <f aca="false">calc_cohort!$B$2*constant!$B$1*F97*H97</f>
        <v>0</v>
      </c>
      <c r="J97" s="0" t="n">
        <f aca="false">INDEX(table_spot_rate!B$1:B$2000,MATCH(A97,table_spot_rate!A$1:A$2000,0))</f>
        <v>0.05447460706071</v>
      </c>
      <c r="K97" s="0" t="n">
        <f aca="false">(1+J97)^(-A97*constant!$B$1)</f>
        <v>0.657098793767385</v>
      </c>
      <c r="L97" s="0" t="n">
        <f aca="false">K97*I97</f>
        <v>0</v>
      </c>
    </row>
    <row r="98" customFormat="false" ht="12.8" hidden="false" customHeight="false" outlineLevel="0" collapsed="false">
      <c r="A98" s="0" t="n">
        <v>96</v>
      </c>
      <c r="B98" s="0" t="n">
        <f aca="false">calc_cohort!D$2+constant!$B$1*A98</f>
        <v>39.2</v>
      </c>
      <c r="C98" s="0" t="n">
        <f aca="false">_xlfn.FLOOR.MATH(B98)</f>
        <v>39</v>
      </c>
      <c r="D98" s="4" t="n">
        <f aca="false">INDEX(table_mortality_rate!$A$1:$C$2000,MATCH(C98,table_mortality_rate!$A$1:$A$2000,0),MATCH(calc_cohort!$E$2,table_mortality_rate!A$1:C$1,0))</f>
        <v>0.00087</v>
      </c>
      <c r="E98" s="0" t="n">
        <f aca="false">(1-D98)^constant!$B$1</f>
        <v>0.999927471074546</v>
      </c>
      <c r="F98" s="0" t="n">
        <f aca="false">IF(A98=0,1,F97*E98)</f>
        <v>0.994440546889943</v>
      </c>
      <c r="G98" s="5" t="b">
        <f aca="false">B98&gt;=calc_cohort!C$2</f>
        <v>0</v>
      </c>
      <c r="H98" s="0" t="n">
        <f aca="false">IF(G98,1,0)</f>
        <v>0</v>
      </c>
      <c r="I98" s="0" t="n">
        <f aca="false">calc_cohort!$B$2*constant!$B$1*F98*H98</f>
        <v>0</v>
      </c>
      <c r="J98" s="0" t="n">
        <f aca="false">INDEX(table_spot_rate!B$1:B$2000,MATCH(A98,table_spot_rate!A$1:A$2000,0))</f>
        <v>0.0536548898589256</v>
      </c>
      <c r="K98" s="0" t="n">
        <f aca="false">(1+J98)^(-A98*constant!$B$1)</f>
        <v>0.658283400712869</v>
      </c>
      <c r="L98" s="0" t="n">
        <f aca="false">K98*I98</f>
        <v>0</v>
      </c>
    </row>
    <row r="99" customFormat="false" ht="12.8" hidden="false" customHeight="false" outlineLevel="0" collapsed="false">
      <c r="A99" s="0" t="n">
        <v>97</v>
      </c>
      <c r="B99" s="0" t="n">
        <f aca="false">calc_cohort!D$2+constant!$B$1*A99</f>
        <v>39.2833333333333</v>
      </c>
      <c r="C99" s="0" t="n">
        <f aca="false">_xlfn.FLOOR.MATH(B99)</f>
        <v>39</v>
      </c>
      <c r="D99" s="4" t="n">
        <f aca="false">INDEX(table_mortality_rate!$A$1:$C$2000,MATCH(C99,table_mortality_rate!$A$1:$A$2000,0),MATCH(calc_cohort!$E$2,table_mortality_rate!A$1:C$1,0))</f>
        <v>0.00087</v>
      </c>
      <c r="E99" s="0" t="n">
        <f aca="false">(1-D99)^constant!$B$1</f>
        <v>0.999927471074546</v>
      </c>
      <c r="F99" s="0" t="n">
        <f aca="false">IF(A99=0,1,F98*E99)</f>
        <v>0.994368421185649</v>
      </c>
      <c r="G99" s="5" t="b">
        <f aca="false">B99&gt;=calc_cohort!C$2</f>
        <v>0</v>
      </c>
      <c r="H99" s="0" t="n">
        <f aca="false">IF(G99,1,0)</f>
        <v>0</v>
      </c>
      <c r="I99" s="0" t="n">
        <f aca="false">calc_cohort!$B$2*constant!$B$1*F99*H99</f>
        <v>0</v>
      </c>
      <c r="J99" s="0" t="n">
        <f aca="false">INDEX(table_spot_rate!B$1:B$2000,MATCH(A99,table_spot_rate!A$1:A$2000,0))</f>
        <v>0.0522116513671464</v>
      </c>
      <c r="K99" s="0" t="n">
        <f aca="false">(1+J99)^(-A99*constant!$B$1)</f>
        <v>0.662724799262398</v>
      </c>
      <c r="L99" s="0" t="n">
        <f aca="false">K99*I99</f>
        <v>0</v>
      </c>
    </row>
    <row r="100" customFormat="false" ht="12.8" hidden="false" customHeight="false" outlineLevel="0" collapsed="false">
      <c r="A100" s="0" t="n">
        <v>98</v>
      </c>
      <c r="B100" s="0" t="n">
        <f aca="false">calc_cohort!D$2+constant!$B$1*A100</f>
        <v>39.3666666666667</v>
      </c>
      <c r="C100" s="0" t="n">
        <f aca="false">_xlfn.FLOOR.MATH(B100)</f>
        <v>39</v>
      </c>
      <c r="D100" s="4" t="n">
        <f aca="false">INDEX(table_mortality_rate!$A$1:$C$2000,MATCH(C100,table_mortality_rate!$A$1:$A$2000,0),MATCH(calc_cohort!$E$2,table_mortality_rate!A$1:C$1,0))</f>
        <v>0.00087</v>
      </c>
      <c r="E100" s="0" t="n">
        <f aca="false">(1-D100)^constant!$B$1</f>
        <v>0.999927471074546</v>
      </c>
      <c r="F100" s="0" t="n">
        <f aca="false">IF(A100=0,1,F99*E100)</f>
        <v>0.994296300712555</v>
      </c>
      <c r="G100" s="5" t="b">
        <f aca="false">B100&gt;=calc_cohort!C$2</f>
        <v>0</v>
      </c>
      <c r="H100" s="0" t="n">
        <f aca="false">IF(G100,1,0)</f>
        <v>0</v>
      </c>
      <c r="I100" s="0" t="n">
        <f aca="false">calc_cohort!$B$2*constant!$B$1*F100*H100</f>
        <v>0</v>
      </c>
      <c r="J100" s="0" t="n">
        <f aca="false">INDEX(table_spot_rate!B$1:B$2000,MATCH(A100,table_spot_rate!A$1:A$2000,0))</f>
        <v>0.0551152569949035</v>
      </c>
      <c r="K100" s="0" t="n">
        <f aca="false">(1+J100)^(-A100*constant!$B$1)</f>
        <v>0.645234319188938</v>
      </c>
      <c r="L100" s="0" t="n">
        <f aca="false">K100*I100</f>
        <v>0</v>
      </c>
    </row>
    <row r="101" customFormat="false" ht="12.8" hidden="false" customHeight="false" outlineLevel="0" collapsed="false">
      <c r="A101" s="0" t="n">
        <v>99</v>
      </c>
      <c r="B101" s="0" t="n">
        <f aca="false">calc_cohort!D$2+constant!$B$1*A101</f>
        <v>39.45</v>
      </c>
      <c r="C101" s="0" t="n">
        <f aca="false">_xlfn.FLOOR.MATH(B101)</f>
        <v>39</v>
      </c>
      <c r="D101" s="4" t="n">
        <f aca="false">INDEX(table_mortality_rate!$A$1:$C$2000,MATCH(C101,table_mortality_rate!$A$1:$A$2000,0),MATCH(calc_cohort!$E$2,table_mortality_rate!A$1:C$1,0))</f>
        <v>0.00087</v>
      </c>
      <c r="E101" s="0" t="n">
        <f aca="false">(1-D101)^constant!$B$1</f>
        <v>0.999927471074546</v>
      </c>
      <c r="F101" s="0" t="n">
        <f aca="false">IF(A101=0,1,F100*E101)</f>
        <v>0.994224185470282</v>
      </c>
      <c r="G101" s="5" t="b">
        <f aca="false">B101&gt;=calc_cohort!C$2</f>
        <v>0</v>
      </c>
      <c r="H101" s="0" t="n">
        <f aca="false">IF(G101,1,0)</f>
        <v>0</v>
      </c>
      <c r="I101" s="0" t="n">
        <f aca="false">calc_cohort!$B$2*constant!$B$1*F101*H101</f>
        <v>0</v>
      </c>
      <c r="J101" s="0" t="n">
        <f aca="false">INDEX(table_spot_rate!B$1:B$2000,MATCH(A101,table_spot_rate!A$1:A$2000,0))</f>
        <v>0.0549680487349779</v>
      </c>
      <c r="K101" s="0" t="n">
        <f aca="false">(1+J101)^(-A101*constant!$B$1)</f>
        <v>0.643095870238941</v>
      </c>
      <c r="L101" s="0" t="n">
        <f aca="false">K101*I101</f>
        <v>0</v>
      </c>
    </row>
    <row r="102" customFormat="false" ht="12.8" hidden="false" customHeight="false" outlineLevel="0" collapsed="false">
      <c r="A102" s="0" t="n">
        <v>100</v>
      </c>
      <c r="B102" s="0" t="n">
        <f aca="false">calc_cohort!D$2+constant!$B$1*A102</f>
        <v>39.5333333333333</v>
      </c>
      <c r="C102" s="0" t="n">
        <f aca="false">_xlfn.FLOOR.MATH(B102)</f>
        <v>39</v>
      </c>
      <c r="D102" s="4" t="n">
        <f aca="false">INDEX(table_mortality_rate!$A$1:$C$2000,MATCH(C102,table_mortality_rate!$A$1:$A$2000,0),MATCH(calc_cohort!$E$2,table_mortality_rate!A$1:C$1,0))</f>
        <v>0.00087</v>
      </c>
      <c r="E102" s="0" t="n">
        <f aca="false">(1-D102)^constant!$B$1</f>
        <v>0.999927471074546</v>
      </c>
      <c r="F102" s="0" t="n">
        <f aca="false">IF(A102=0,1,F101*E102)</f>
        <v>0.994152075458449</v>
      </c>
      <c r="G102" s="5" t="b">
        <f aca="false">B102&gt;=calc_cohort!C$2</f>
        <v>0</v>
      </c>
      <c r="H102" s="0" t="n">
        <f aca="false">IF(G102,1,0)</f>
        <v>0</v>
      </c>
      <c r="I102" s="0" t="n">
        <f aca="false">calc_cohort!$B$2*constant!$B$1*F102*H102</f>
        <v>0</v>
      </c>
      <c r="J102" s="0" t="n">
        <f aca="false">INDEX(table_spot_rate!B$1:B$2000,MATCH(A102,table_spot_rate!A$1:A$2000,0))</f>
        <v>0.0507996491577013</v>
      </c>
      <c r="K102" s="0" t="n">
        <f aca="false">(1+J102)^(-A102*constant!$B$1)</f>
        <v>0.661709455802688</v>
      </c>
      <c r="L102" s="0" t="n">
        <f aca="false">K102*I102</f>
        <v>0</v>
      </c>
    </row>
    <row r="103" customFormat="false" ht="12.8" hidden="false" customHeight="false" outlineLevel="0" collapsed="false">
      <c r="A103" s="0" t="n">
        <v>101</v>
      </c>
      <c r="B103" s="0" t="n">
        <f aca="false">calc_cohort!D$2+constant!$B$1*A103</f>
        <v>39.6166666666667</v>
      </c>
      <c r="C103" s="0" t="n">
        <f aca="false">_xlfn.FLOOR.MATH(B103)</f>
        <v>39</v>
      </c>
      <c r="D103" s="4" t="n">
        <f aca="false">INDEX(table_mortality_rate!$A$1:$C$2000,MATCH(C103,table_mortality_rate!$A$1:$A$2000,0),MATCH(calc_cohort!$E$2,table_mortality_rate!A$1:C$1,0))</f>
        <v>0.00087</v>
      </c>
      <c r="E103" s="0" t="n">
        <f aca="false">(1-D103)^constant!$B$1</f>
        <v>0.999927471074546</v>
      </c>
      <c r="F103" s="0" t="n">
        <f aca="false">IF(A103=0,1,F102*E103)</f>
        <v>0.994079970676679</v>
      </c>
      <c r="G103" s="5" t="b">
        <f aca="false">B103&gt;=calc_cohort!C$2</f>
        <v>0</v>
      </c>
      <c r="H103" s="0" t="n">
        <f aca="false">IF(G103,1,0)</f>
        <v>0</v>
      </c>
      <c r="I103" s="0" t="n">
        <f aca="false">calc_cohort!$B$2*constant!$B$1*F103*H103</f>
        <v>0</v>
      </c>
      <c r="J103" s="0" t="n">
        <f aca="false">INDEX(table_spot_rate!B$1:B$2000,MATCH(A103,table_spot_rate!A$1:A$2000,0))</f>
        <v>0.0584365521660722</v>
      </c>
      <c r="K103" s="0" t="n">
        <f aca="false">(1+J103)^(-A103*constant!$B$1)</f>
        <v>0.620018077920343</v>
      </c>
      <c r="L103" s="0" t="n">
        <f aca="false">K103*I103</f>
        <v>0</v>
      </c>
    </row>
    <row r="104" customFormat="false" ht="12.8" hidden="false" customHeight="false" outlineLevel="0" collapsed="false">
      <c r="A104" s="0" t="n">
        <v>102</v>
      </c>
      <c r="B104" s="0" t="n">
        <f aca="false">calc_cohort!D$2+constant!$B$1*A104</f>
        <v>39.7</v>
      </c>
      <c r="C104" s="0" t="n">
        <f aca="false">_xlfn.FLOOR.MATH(B104)</f>
        <v>39</v>
      </c>
      <c r="D104" s="4" t="n">
        <f aca="false">INDEX(table_mortality_rate!$A$1:$C$2000,MATCH(C104,table_mortality_rate!$A$1:$A$2000,0),MATCH(calc_cohort!$E$2,table_mortality_rate!A$1:C$1,0))</f>
        <v>0.00087</v>
      </c>
      <c r="E104" s="0" t="n">
        <f aca="false">(1-D104)^constant!$B$1</f>
        <v>0.999927471074546</v>
      </c>
      <c r="F104" s="0" t="n">
        <f aca="false">IF(A104=0,1,F103*E104)</f>
        <v>0.99400787112459</v>
      </c>
      <c r="G104" s="5" t="b">
        <f aca="false">B104&gt;=calc_cohort!C$2</f>
        <v>0</v>
      </c>
      <c r="H104" s="0" t="n">
        <f aca="false">IF(G104,1,0)</f>
        <v>0</v>
      </c>
      <c r="I104" s="0" t="n">
        <f aca="false">calc_cohort!$B$2*constant!$B$1*F104*H104</f>
        <v>0</v>
      </c>
      <c r="J104" s="0" t="n">
        <f aca="false">INDEX(table_spot_rate!B$1:B$2000,MATCH(A104,table_spot_rate!A$1:A$2000,0))</f>
        <v>0.0546315182842329</v>
      </c>
      <c r="K104" s="0" t="n">
        <f aca="false">(1+J104)^(-A104*constant!$B$1)</f>
        <v>0.636273236810617</v>
      </c>
      <c r="L104" s="0" t="n">
        <f aca="false">K104*I104</f>
        <v>0</v>
      </c>
    </row>
    <row r="105" customFormat="false" ht="12.8" hidden="false" customHeight="false" outlineLevel="0" collapsed="false">
      <c r="A105" s="0" t="n">
        <v>103</v>
      </c>
      <c r="B105" s="0" t="n">
        <f aca="false">calc_cohort!D$2+constant!$B$1*A105</f>
        <v>39.7833333333333</v>
      </c>
      <c r="C105" s="0" t="n">
        <f aca="false">_xlfn.FLOOR.MATH(B105)</f>
        <v>39</v>
      </c>
      <c r="D105" s="4" t="n">
        <f aca="false">INDEX(table_mortality_rate!$A$1:$C$2000,MATCH(C105,table_mortality_rate!$A$1:$A$2000,0),MATCH(calc_cohort!$E$2,table_mortality_rate!A$1:C$1,0))</f>
        <v>0.00087</v>
      </c>
      <c r="E105" s="0" t="n">
        <f aca="false">(1-D105)^constant!$B$1</f>
        <v>0.999927471074546</v>
      </c>
      <c r="F105" s="0" t="n">
        <f aca="false">IF(A105=0,1,F104*E105)</f>
        <v>0.993935776801805</v>
      </c>
      <c r="G105" s="5" t="b">
        <f aca="false">B105&gt;=calc_cohort!C$2</f>
        <v>0</v>
      </c>
      <c r="H105" s="0" t="n">
        <f aca="false">IF(G105,1,0)</f>
        <v>0</v>
      </c>
      <c r="I105" s="0" t="n">
        <f aca="false">calc_cohort!$B$2*constant!$B$1*F105*H105</f>
        <v>0</v>
      </c>
      <c r="J105" s="0" t="n">
        <f aca="false">INDEX(table_spot_rate!B$1:B$2000,MATCH(A105,table_spot_rate!A$1:A$2000,0))</f>
        <v>0.0541362294937872</v>
      </c>
      <c r="K105" s="0" t="n">
        <f aca="false">(1+J105)^(-A105*constant!$B$1)</f>
        <v>0.636018356088738</v>
      </c>
      <c r="L105" s="0" t="n">
        <f aca="false">K105*I105</f>
        <v>0</v>
      </c>
    </row>
    <row r="106" customFormat="false" ht="12.8" hidden="false" customHeight="false" outlineLevel="0" collapsed="false">
      <c r="A106" s="0" t="n">
        <v>104</v>
      </c>
      <c r="B106" s="0" t="n">
        <f aca="false">calc_cohort!D$2+constant!$B$1*A106</f>
        <v>39.8666666666667</v>
      </c>
      <c r="C106" s="0" t="n">
        <f aca="false">_xlfn.FLOOR.MATH(B106)</f>
        <v>39</v>
      </c>
      <c r="D106" s="4" t="n">
        <f aca="false">INDEX(table_mortality_rate!$A$1:$C$2000,MATCH(C106,table_mortality_rate!$A$1:$A$2000,0),MATCH(calc_cohort!$E$2,table_mortality_rate!A$1:C$1,0))</f>
        <v>0.00087</v>
      </c>
      <c r="E106" s="0" t="n">
        <f aca="false">(1-D106)^constant!$B$1</f>
        <v>0.999927471074546</v>
      </c>
      <c r="F106" s="0" t="n">
        <f aca="false">IF(A106=0,1,F105*E106)</f>
        <v>0.993863687707943</v>
      </c>
      <c r="G106" s="5" t="b">
        <f aca="false">B106&gt;=calc_cohort!C$2</f>
        <v>0</v>
      </c>
      <c r="H106" s="0" t="n">
        <f aca="false">IF(G106,1,0)</f>
        <v>0</v>
      </c>
      <c r="I106" s="0" t="n">
        <f aca="false">calc_cohort!$B$2*constant!$B$1*F106*H106</f>
        <v>0</v>
      </c>
      <c r="J106" s="0" t="n">
        <f aca="false">INDEX(table_spot_rate!B$1:B$2000,MATCH(A106,table_spot_rate!A$1:A$2000,0))</f>
        <v>0.0515028496070638</v>
      </c>
      <c r="K106" s="0" t="n">
        <f aca="false">(1+J106)^(-A106*constant!$B$1)</f>
        <v>0.647106951969846</v>
      </c>
      <c r="L106" s="0" t="n">
        <f aca="false">K106*I106</f>
        <v>0</v>
      </c>
    </row>
    <row r="107" customFormat="false" ht="12.8" hidden="false" customHeight="false" outlineLevel="0" collapsed="false">
      <c r="A107" s="0" t="n">
        <v>105</v>
      </c>
      <c r="B107" s="0" t="n">
        <f aca="false">calc_cohort!D$2+constant!$B$1*A107</f>
        <v>39.95</v>
      </c>
      <c r="C107" s="0" t="n">
        <f aca="false">_xlfn.FLOOR.MATH(B107)</f>
        <v>39</v>
      </c>
      <c r="D107" s="4" t="n">
        <f aca="false">INDEX(table_mortality_rate!$A$1:$C$2000,MATCH(C107,table_mortality_rate!$A$1:$A$2000,0),MATCH(calc_cohort!$E$2,table_mortality_rate!A$1:C$1,0))</f>
        <v>0.00087</v>
      </c>
      <c r="E107" s="0" t="n">
        <f aca="false">(1-D107)^constant!$B$1</f>
        <v>0.999927471074546</v>
      </c>
      <c r="F107" s="0" t="n">
        <f aca="false">IF(A107=0,1,F106*E107)</f>
        <v>0.993791603842626</v>
      </c>
      <c r="G107" s="5" t="b">
        <f aca="false">B107&gt;=calc_cohort!C$2</f>
        <v>0</v>
      </c>
      <c r="H107" s="0" t="n">
        <f aca="false">IF(G107,1,0)</f>
        <v>0</v>
      </c>
      <c r="I107" s="0" t="n">
        <f aca="false">calc_cohort!$B$2*constant!$B$1*F107*H107</f>
        <v>0</v>
      </c>
      <c r="J107" s="0" t="n">
        <f aca="false">INDEX(table_spot_rate!B$1:B$2000,MATCH(A107,table_spot_rate!A$1:A$2000,0))</f>
        <v>0.0509126674497954</v>
      </c>
      <c r="K107" s="0" t="n">
        <f aca="false">(1+J107)^(-A107*constant!$B$1)</f>
        <v>0.647577892676304</v>
      </c>
      <c r="L107" s="0" t="n">
        <f aca="false">K107*I107</f>
        <v>0</v>
      </c>
    </row>
    <row r="108" customFormat="false" ht="12.8" hidden="false" customHeight="false" outlineLevel="0" collapsed="false">
      <c r="A108" s="0" t="n">
        <v>106</v>
      </c>
      <c r="B108" s="0" t="n">
        <f aca="false">calc_cohort!D$2+constant!$B$1*A108</f>
        <v>40.0333333333333</v>
      </c>
      <c r="C108" s="0" t="n">
        <f aca="false">_xlfn.FLOOR.MATH(B108)</f>
        <v>40</v>
      </c>
      <c r="D108" s="4" t="n">
        <f aca="false">INDEX(table_mortality_rate!$A$1:$C$2000,MATCH(C108,table_mortality_rate!$A$1:$A$2000,0),MATCH(calc_cohort!$E$2,table_mortality_rate!A$1:C$1,0))</f>
        <v>0.000937</v>
      </c>
      <c r="E108" s="0" t="n">
        <f aca="false">(1-D108)^constant!$B$1</f>
        <v>0.99992188311304</v>
      </c>
      <c r="F108" s="0" t="n">
        <f aca="false">IF(A108=0,1,F107*E108)</f>
        <v>0.993713971936247</v>
      </c>
      <c r="G108" s="5" t="b">
        <f aca="false">B108&gt;=calc_cohort!C$2</f>
        <v>0</v>
      </c>
      <c r="H108" s="0" t="n">
        <f aca="false">IF(G108,1,0)</f>
        <v>0</v>
      </c>
      <c r="I108" s="0" t="n">
        <f aca="false">calc_cohort!$B$2*constant!$B$1*F108*H108</f>
        <v>0</v>
      </c>
      <c r="J108" s="0" t="n">
        <f aca="false">INDEX(table_spot_rate!B$1:B$2000,MATCH(A108,table_spot_rate!A$1:A$2000,0))</f>
        <v>0.0529605709354005</v>
      </c>
      <c r="K108" s="0" t="n">
        <f aca="false">(1+J108)^(-A108*constant!$B$1)</f>
        <v>0.633908201986697</v>
      </c>
      <c r="L108" s="0" t="n">
        <f aca="false">K108*I108</f>
        <v>0</v>
      </c>
    </row>
    <row r="109" customFormat="false" ht="12.8" hidden="false" customHeight="false" outlineLevel="0" collapsed="false">
      <c r="A109" s="0" t="n">
        <v>107</v>
      </c>
      <c r="B109" s="0" t="n">
        <f aca="false">calc_cohort!D$2+constant!$B$1*A109</f>
        <v>40.1166666666667</v>
      </c>
      <c r="C109" s="0" t="n">
        <f aca="false">_xlfn.FLOOR.MATH(B109)</f>
        <v>40</v>
      </c>
      <c r="D109" s="4" t="n">
        <f aca="false">INDEX(table_mortality_rate!$A$1:$C$2000,MATCH(C109,table_mortality_rate!$A$1:$A$2000,0),MATCH(calc_cohort!$E$2,table_mortality_rate!A$1:C$1,0))</f>
        <v>0.000937</v>
      </c>
      <c r="E109" s="0" t="n">
        <f aca="false">(1-D109)^constant!$B$1</f>
        <v>0.99992188311304</v>
      </c>
      <c r="F109" s="0" t="n">
        <f aca="false">IF(A109=0,1,F108*E109)</f>
        <v>0.993636346094231</v>
      </c>
      <c r="G109" s="5" t="b">
        <f aca="false">B109&gt;=calc_cohort!C$2</f>
        <v>0</v>
      </c>
      <c r="H109" s="0" t="n">
        <f aca="false">IF(G109,1,0)</f>
        <v>0</v>
      </c>
      <c r="I109" s="0" t="n">
        <f aca="false">calc_cohort!$B$2*constant!$B$1*F109*H109</f>
        <v>0</v>
      </c>
      <c r="J109" s="0" t="n">
        <f aca="false">INDEX(table_spot_rate!B$1:B$2000,MATCH(A109,table_spot_rate!A$1:A$2000,0))</f>
        <v>0.0502410128260237</v>
      </c>
      <c r="K109" s="0" t="n">
        <f aca="false">(1+J109)^(-A109*constant!$B$1)</f>
        <v>0.645911945431089</v>
      </c>
      <c r="L109" s="0" t="n">
        <f aca="false">K109*I109</f>
        <v>0</v>
      </c>
    </row>
    <row r="110" customFormat="false" ht="12.8" hidden="false" customHeight="false" outlineLevel="0" collapsed="false">
      <c r="A110" s="0" t="n">
        <v>108</v>
      </c>
      <c r="B110" s="0" t="n">
        <f aca="false">calc_cohort!D$2+constant!$B$1*A110</f>
        <v>40.2</v>
      </c>
      <c r="C110" s="0" t="n">
        <f aca="false">_xlfn.FLOOR.MATH(B110)</f>
        <v>40</v>
      </c>
      <c r="D110" s="4" t="n">
        <f aca="false">INDEX(table_mortality_rate!$A$1:$C$2000,MATCH(C110,table_mortality_rate!$A$1:$A$2000,0),MATCH(calc_cohort!$E$2,table_mortality_rate!A$1:C$1,0))</f>
        <v>0.000937</v>
      </c>
      <c r="E110" s="0" t="n">
        <f aca="false">(1-D110)^constant!$B$1</f>
        <v>0.99992188311304</v>
      </c>
      <c r="F110" s="0" t="n">
        <f aca="false">IF(A110=0,1,F109*E110)</f>
        <v>0.993558726316104</v>
      </c>
      <c r="G110" s="5" t="b">
        <f aca="false">B110&gt;=calc_cohort!C$2</f>
        <v>0</v>
      </c>
      <c r="H110" s="0" t="n">
        <f aca="false">IF(G110,1,0)</f>
        <v>0</v>
      </c>
      <c r="I110" s="0" t="n">
        <f aca="false">calc_cohort!$B$2*constant!$B$1*F110*H110</f>
        <v>0</v>
      </c>
      <c r="J110" s="0" t="n">
        <f aca="false">INDEX(table_spot_rate!B$1:B$2000,MATCH(A110,table_spot_rate!A$1:A$2000,0))</f>
        <v>0.0506652421113481</v>
      </c>
      <c r="K110" s="0" t="n">
        <f aca="false">(1+J110)^(-A110*constant!$B$1)</f>
        <v>0.640944924344069</v>
      </c>
      <c r="L110" s="0" t="n">
        <f aca="false">K110*I110</f>
        <v>0</v>
      </c>
    </row>
    <row r="111" customFormat="false" ht="12.8" hidden="false" customHeight="false" outlineLevel="0" collapsed="false">
      <c r="A111" s="0" t="n">
        <v>109</v>
      </c>
      <c r="B111" s="0" t="n">
        <f aca="false">calc_cohort!D$2+constant!$B$1*A111</f>
        <v>40.2833333333333</v>
      </c>
      <c r="C111" s="0" t="n">
        <f aca="false">_xlfn.FLOOR.MATH(B111)</f>
        <v>40</v>
      </c>
      <c r="D111" s="4" t="n">
        <f aca="false">INDEX(table_mortality_rate!$A$1:$C$2000,MATCH(C111,table_mortality_rate!$A$1:$A$2000,0),MATCH(calc_cohort!$E$2,table_mortality_rate!A$1:C$1,0))</f>
        <v>0.000937</v>
      </c>
      <c r="E111" s="0" t="n">
        <f aca="false">(1-D111)^constant!$B$1</f>
        <v>0.99992188311304</v>
      </c>
      <c r="F111" s="0" t="n">
        <f aca="false">IF(A111=0,1,F110*E111)</f>
        <v>0.993481112601393</v>
      </c>
      <c r="G111" s="5" t="b">
        <f aca="false">B111&gt;=calc_cohort!C$2</f>
        <v>0</v>
      </c>
      <c r="H111" s="0" t="n">
        <f aca="false">IF(G111,1,0)</f>
        <v>0</v>
      </c>
      <c r="I111" s="0" t="n">
        <f aca="false">calc_cohort!$B$2*constant!$B$1*F111*H111</f>
        <v>0</v>
      </c>
      <c r="J111" s="0" t="n">
        <f aca="false">INDEX(table_spot_rate!B$1:B$2000,MATCH(A111,table_spot_rate!A$1:A$2000,0))</f>
        <v>0.0555486911331753</v>
      </c>
      <c r="K111" s="0" t="n">
        <f aca="false">(1+J111)^(-A111*constant!$B$1)</f>
        <v>0.611982542103153</v>
      </c>
      <c r="L111" s="0" t="n">
        <f aca="false">K111*I111</f>
        <v>0</v>
      </c>
    </row>
    <row r="112" customFormat="false" ht="12.8" hidden="false" customHeight="false" outlineLevel="0" collapsed="false">
      <c r="A112" s="0" t="n">
        <v>110</v>
      </c>
      <c r="B112" s="0" t="n">
        <f aca="false">calc_cohort!D$2+constant!$B$1*A112</f>
        <v>40.3666666666667</v>
      </c>
      <c r="C112" s="0" t="n">
        <f aca="false">_xlfn.FLOOR.MATH(B112)</f>
        <v>40</v>
      </c>
      <c r="D112" s="4" t="n">
        <f aca="false">INDEX(table_mortality_rate!$A$1:$C$2000,MATCH(C112,table_mortality_rate!$A$1:$A$2000,0),MATCH(calc_cohort!$E$2,table_mortality_rate!A$1:C$1,0))</f>
        <v>0.000937</v>
      </c>
      <c r="E112" s="0" t="n">
        <f aca="false">(1-D112)^constant!$B$1</f>
        <v>0.99992188311304</v>
      </c>
      <c r="F112" s="0" t="n">
        <f aca="false">IF(A112=0,1,F111*E112)</f>
        <v>0.993403504949623</v>
      </c>
      <c r="G112" s="5" t="b">
        <f aca="false">B112&gt;=calc_cohort!C$2</f>
        <v>0</v>
      </c>
      <c r="H112" s="0" t="n">
        <f aca="false">IF(G112,1,0)</f>
        <v>0</v>
      </c>
      <c r="I112" s="0" t="n">
        <f aca="false">calc_cohort!$B$2*constant!$B$1*F112*H112</f>
        <v>0</v>
      </c>
      <c r="J112" s="0" t="n">
        <f aca="false">INDEX(table_spot_rate!B$1:B$2000,MATCH(A112,table_spot_rate!A$1:A$2000,0))</f>
        <v>0.059535829057111</v>
      </c>
      <c r="K112" s="0" t="n">
        <f aca="false">(1+J112)^(-A112*constant!$B$1)</f>
        <v>0.588536270668913</v>
      </c>
      <c r="L112" s="0" t="n">
        <f aca="false">K112*I112</f>
        <v>0</v>
      </c>
    </row>
    <row r="113" customFormat="false" ht="12.8" hidden="false" customHeight="false" outlineLevel="0" collapsed="false">
      <c r="A113" s="0" t="n">
        <v>111</v>
      </c>
      <c r="B113" s="0" t="n">
        <f aca="false">calc_cohort!D$2+constant!$B$1*A113</f>
        <v>40.45</v>
      </c>
      <c r="C113" s="0" t="n">
        <f aca="false">_xlfn.FLOOR.MATH(B113)</f>
        <v>40</v>
      </c>
      <c r="D113" s="4" t="n">
        <f aca="false">INDEX(table_mortality_rate!$A$1:$C$2000,MATCH(C113,table_mortality_rate!$A$1:$A$2000,0),MATCH(calc_cohort!$E$2,table_mortality_rate!A$1:C$1,0))</f>
        <v>0.000937</v>
      </c>
      <c r="E113" s="0" t="n">
        <f aca="false">(1-D113)^constant!$B$1</f>
        <v>0.99992188311304</v>
      </c>
      <c r="F113" s="0" t="n">
        <f aca="false">IF(A113=0,1,F112*E113)</f>
        <v>0.993325903360321</v>
      </c>
      <c r="G113" s="5" t="b">
        <f aca="false">B113&gt;=calc_cohort!C$2</f>
        <v>0</v>
      </c>
      <c r="H113" s="0" t="n">
        <f aca="false">IF(G113,1,0)</f>
        <v>0</v>
      </c>
      <c r="I113" s="0" t="n">
        <f aca="false">calc_cohort!$B$2*constant!$B$1*F113*H113</f>
        <v>0</v>
      </c>
      <c r="J113" s="0" t="n">
        <f aca="false">INDEX(table_spot_rate!B$1:B$2000,MATCH(A113,table_spot_rate!A$1:A$2000,0))</f>
        <v>0.0571807736611126</v>
      </c>
      <c r="K113" s="0" t="n">
        <f aca="false">(1+J113)^(-A113*constant!$B$1)</f>
        <v>0.597887370290017</v>
      </c>
      <c r="L113" s="0" t="n">
        <f aca="false">K113*I113</f>
        <v>0</v>
      </c>
    </row>
    <row r="114" customFormat="false" ht="12.8" hidden="false" customHeight="false" outlineLevel="0" collapsed="false">
      <c r="A114" s="0" t="n">
        <v>112</v>
      </c>
      <c r="B114" s="0" t="n">
        <f aca="false">calc_cohort!D$2+constant!$B$1*A114</f>
        <v>40.5333333333333</v>
      </c>
      <c r="C114" s="0" t="n">
        <f aca="false">_xlfn.FLOOR.MATH(B114)</f>
        <v>40</v>
      </c>
      <c r="D114" s="4" t="n">
        <f aca="false">INDEX(table_mortality_rate!$A$1:$C$2000,MATCH(C114,table_mortality_rate!$A$1:$A$2000,0),MATCH(calc_cohort!$E$2,table_mortality_rate!A$1:C$1,0))</f>
        <v>0.000937</v>
      </c>
      <c r="E114" s="0" t="n">
        <f aca="false">(1-D114)^constant!$B$1</f>
        <v>0.99992188311304</v>
      </c>
      <c r="F114" s="0" t="n">
        <f aca="false">IF(A114=0,1,F113*E114)</f>
        <v>0.993248307833014</v>
      </c>
      <c r="G114" s="5" t="b">
        <f aca="false">B114&gt;=calc_cohort!C$2</f>
        <v>0</v>
      </c>
      <c r="H114" s="0" t="n">
        <f aca="false">IF(G114,1,0)</f>
        <v>0</v>
      </c>
      <c r="I114" s="0" t="n">
        <f aca="false">calc_cohort!$B$2*constant!$B$1*F114*H114</f>
        <v>0</v>
      </c>
      <c r="J114" s="0" t="n">
        <f aca="false">INDEX(table_spot_rate!B$1:B$2000,MATCH(A114,table_spot_rate!A$1:A$2000,0))</f>
        <v>0.0520804196470863</v>
      </c>
      <c r="K114" s="0" t="n">
        <f aca="false">(1+J114)^(-A114*constant!$B$1)</f>
        <v>0.622601140815372</v>
      </c>
      <c r="L114" s="0" t="n">
        <f aca="false">K114*I114</f>
        <v>0</v>
      </c>
    </row>
    <row r="115" customFormat="false" ht="12.8" hidden="false" customHeight="false" outlineLevel="0" collapsed="false">
      <c r="A115" s="0" t="n">
        <v>113</v>
      </c>
      <c r="B115" s="0" t="n">
        <f aca="false">calc_cohort!D$2+constant!$B$1*A115</f>
        <v>40.6166666666667</v>
      </c>
      <c r="C115" s="0" t="n">
        <f aca="false">_xlfn.FLOOR.MATH(B115)</f>
        <v>40</v>
      </c>
      <c r="D115" s="4" t="n">
        <f aca="false">INDEX(table_mortality_rate!$A$1:$C$2000,MATCH(C115,table_mortality_rate!$A$1:$A$2000,0),MATCH(calc_cohort!$E$2,table_mortality_rate!A$1:C$1,0))</f>
        <v>0.000937</v>
      </c>
      <c r="E115" s="0" t="n">
        <f aca="false">(1-D115)^constant!$B$1</f>
        <v>0.99992188311304</v>
      </c>
      <c r="F115" s="0" t="n">
        <f aca="false">IF(A115=0,1,F114*E115)</f>
        <v>0.993170718367229</v>
      </c>
      <c r="G115" s="5" t="b">
        <f aca="false">B115&gt;=calc_cohort!C$2</f>
        <v>0</v>
      </c>
      <c r="H115" s="0" t="n">
        <f aca="false">IF(G115,1,0)</f>
        <v>0</v>
      </c>
      <c r="I115" s="0" t="n">
        <f aca="false">calc_cohort!$B$2*constant!$B$1*F115*H115</f>
        <v>0</v>
      </c>
      <c r="J115" s="0" t="n">
        <f aca="false">INDEX(table_spot_rate!B$1:B$2000,MATCH(A115,table_spot_rate!A$1:A$2000,0))</f>
        <v>0.0568634806220768</v>
      </c>
      <c r="K115" s="0" t="n">
        <f aca="false">(1+J115)^(-A115*constant!$B$1)</f>
        <v>0.594048777645705</v>
      </c>
      <c r="L115" s="0" t="n">
        <f aca="false">K115*I115</f>
        <v>0</v>
      </c>
    </row>
    <row r="116" customFormat="false" ht="12.8" hidden="false" customHeight="false" outlineLevel="0" collapsed="false">
      <c r="A116" s="0" t="n">
        <v>114</v>
      </c>
      <c r="B116" s="0" t="n">
        <f aca="false">calc_cohort!D$2+constant!$B$1*A116</f>
        <v>40.7</v>
      </c>
      <c r="C116" s="0" t="n">
        <f aca="false">_xlfn.FLOOR.MATH(B116)</f>
        <v>40</v>
      </c>
      <c r="D116" s="4" t="n">
        <f aca="false">INDEX(table_mortality_rate!$A$1:$C$2000,MATCH(C116,table_mortality_rate!$A$1:$A$2000,0),MATCH(calc_cohort!$E$2,table_mortality_rate!A$1:C$1,0))</f>
        <v>0.000937</v>
      </c>
      <c r="E116" s="0" t="n">
        <f aca="false">(1-D116)^constant!$B$1</f>
        <v>0.99992188311304</v>
      </c>
      <c r="F116" s="0" t="n">
        <f aca="false">IF(A116=0,1,F115*E116)</f>
        <v>0.99309313496249</v>
      </c>
      <c r="G116" s="5" t="b">
        <f aca="false">B116&gt;=calc_cohort!C$2</f>
        <v>0</v>
      </c>
      <c r="H116" s="0" t="n">
        <f aca="false">IF(G116,1,0)</f>
        <v>0</v>
      </c>
      <c r="I116" s="0" t="n">
        <f aca="false">calc_cohort!$B$2*constant!$B$1*F116*H116</f>
        <v>0</v>
      </c>
      <c r="J116" s="0" t="n">
        <f aca="false">INDEX(table_spot_rate!B$1:B$2000,MATCH(A116,table_spot_rate!A$1:A$2000,0))</f>
        <v>0.0528463268540179</v>
      </c>
      <c r="K116" s="0" t="n">
        <f aca="false">(1+J116)^(-A116*constant!$B$1)</f>
        <v>0.613101854841054</v>
      </c>
      <c r="L116" s="0" t="n">
        <f aca="false">K116*I116</f>
        <v>0</v>
      </c>
    </row>
    <row r="117" customFormat="false" ht="12.8" hidden="false" customHeight="false" outlineLevel="0" collapsed="false">
      <c r="A117" s="0" t="n">
        <v>115</v>
      </c>
      <c r="B117" s="0" t="n">
        <f aca="false">calc_cohort!D$2+constant!$B$1*A117</f>
        <v>40.7833333333333</v>
      </c>
      <c r="C117" s="0" t="n">
        <f aca="false">_xlfn.FLOOR.MATH(B117)</f>
        <v>40</v>
      </c>
      <c r="D117" s="4" t="n">
        <f aca="false">INDEX(table_mortality_rate!$A$1:$C$2000,MATCH(C117,table_mortality_rate!$A$1:$A$2000,0),MATCH(calc_cohort!$E$2,table_mortality_rate!A$1:C$1,0))</f>
        <v>0.000937</v>
      </c>
      <c r="E117" s="0" t="n">
        <f aca="false">(1-D117)^constant!$B$1</f>
        <v>0.99992188311304</v>
      </c>
      <c r="F117" s="0" t="n">
        <f aca="false">IF(A117=0,1,F116*E117)</f>
        <v>0.993015557618326</v>
      </c>
      <c r="G117" s="5" t="b">
        <f aca="false">B117&gt;=calc_cohort!C$2</f>
        <v>0</v>
      </c>
      <c r="H117" s="0" t="n">
        <f aca="false">IF(G117,1,0)</f>
        <v>0</v>
      </c>
      <c r="I117" s="0" t="n">
        <f aca="false">calc_cohort!$B$2*constant!$B$1*F117*H117</f>
        <v>0</v>
      </c>
      <c r="J117" s="0" t="n">
        <f aca="false">INDEX(table_spot_rate!B$1:B$2000,MATCH(A117,table_spot_rate!A$1:A$2000,0))</f>
        <v>0.0566598589281124</v>
      </c>
      <c r="K117" s="0" t="n">
        <f aca="false">(1+J117)^(-A117*constant!$B$1)</f>
        <v>0.589686124963074</v>
      </c>
      <c r="L117" s="0" t="n">
        <f aca="false">K117*I117</f>
        <v>0</v>
      </c>
    </row>
    <row r="118" customFormat="false" ht="12.8" hidden="false" customHeight="false" outlineLevel="0" collapsed="false">
      <c r="A118" s="0" t="n">
        <v>116</v>
      </c>
      <c r="B118" s="0" t="n">
        <f aca="false">calc_cohort!D$2+constant!$B$1*A118</f>
        <v>40.8666666666667</v>
      </c>
      <c r="C118" s="0" t="n">
        <f aca="false">_xlfn.FLOOR.MATH(B118)</f>
        <v>40</v>
      </c>
      <c r="D118" s="4" t="n">
        <f aca="false">INDEX(table_mortality_rate!$A$1:$C$2000,MATCH(C118,table_mortality_rate!$A$1:$A$2000,0),MATCH(calc_cohort!$E$2,table_mortality_rate!A$1:C$1,0))</f>
        <v>0.000937</v>
      </c>
      <c r="E118" s="0" t="n">
        <f aca="false">(1-D118)^constant!$B$1</f>
        <v>0.99992188311304</v>
      </c>
      <c r="F118" s="0" t="n">
        <f aca="false">IF(A118=0,1,F117*E118)</f>
        <v>0.992937986334262</v>
      </c>
      <c r="G118" s="5" t="b">
        <f aca="false">B118&gt;=calc_cohort!C$2</f>
        <v>0</v>
      </c>
      <c r="H118" s="0" t="n">
        <f aca="false">IF(G118,1,0)</f>
        <v>0</v>
      </c>
      <c r="I118" s="0" t="n">
        <f aca="false">calc_cohort!$B$2*constant!$B$1*F118*H118</f>
        <v>0</v>
      </c>
      <c r="J118" s="0" t="n">
        <f aca="false">INDEX(table_spot_rate!B$1:B$2000,MATCH(A118,table_spot_rate!A$1:A$2000,0))</f>
        <v>0.0563950577078212</v>
      </c>
      <c r="K118" s="0" t="n">
        <f aca="false">(1+J118)^(-A118*constant!$B$1)</f>
        <v>0.588407924572122</v>
      </c>
      <c r="L118" s="0" t="n">
        <f aca="false">K118*I118</f>
        <v>0</v>
      </c>
    </row>
    <row r="119" customFormat="false" ht="12.8" hidden="false" customHeight="false" outlineLevel="0" collapsed="false">
      <c r="A119" s="0" t="n">
        <v>117</v>
      </c>
      <c r="B119" s="0" t="n">
        <f aca="false">calc_cohort!D$2+constant!$B$1*A119</f>
        <v>40.95</v>
      </c>
      <c r="C119" s="0" t="n">
        <f aca="false">_xlfn.FLOOR.MATH(B119)</f>
        <v>40</v>
      </c>
      <c r="D119" s="4" t="n">
        <f aca="false">INDEX(table_mortality_rate!$A$1:$C$2000,MATCH(C119,table_mortality_rate!$A$1:$A$2000,0),MATCH(calc_cohort!$E$2,table_mortality_rate!A$1:C$1,0))</f>
        <v>0.000937</v>
      </c>
      <c r="E119" s="0" t="n">
        <f aca="false">(1-D119)^constant!$B$1</f>
        <v>0.99992188311304</v>
      </c>
      <c r="F119" s="0" t="n">
        <f aca="false">IF(A119=0,1,F118*E119)</f>
        <v>0.992860421109826</v>
      </c>
      <c r="G119" s="5" t="b">
        <f aca="false">B119&gt;=calc_cohort!C$2</f>
        <v>0</v>
      </c>
      <c r="H119" s="0" t="n">
        <f aca="false">IF(G119,1,0)</f>
        <v>0</v>
      </c>
      <c r="I119" s="0" t="n">
        <f aca="false">calc_cohort!$B$2*constant!$B$1*F119*H119</f>
        <v>0</v>
      </c>
      <c r="J119" s="0" t="n">
        <f aca="false">INDEX(table_spot_rate!B$1:B$2000,MATCH(A119,table_spot_rate!A$1:A$2000,0))</f>
        <v>0.0549899868619465</v>
      </c>
      <c r="K119" s="0" t="n">
        <f aca="false">(1+J119)^(-A119*constant!$B$1)</f>
        <v>0.593374266281084</v>
      </c>
      <c r="L119" s="0" t="n">
        <f aca="false">K119*I119</f>
        <v>0</v>
      </c>
    </row>
    <row r="120" customFormat="false" ht="12.8" hidden="false" customHeight="false" outlineLevel="0" collapsed="false">
      <c r="A120" s="0" t="n">
        <v>118</v>
      </c>
      <c r="B120" s="0" t="n">
        <f aca="false">calc_cohort!D$2+constant!$B$1*A120</f>
        <v>41.0333333333333</v>
      </c>
      <c r="C120" s="0" t="n">
        <f aca="false">_xlfn.FLOOR.MATH(B120)</f>
        <v>41</v>
      </c>
      <c r="D120" s="4" t="n">
        <f aca="false">INDEX(table_mortality_rate!$A$1:$C$2000,MATCH(C120,table_mortality_rate!$A$1:$A$2000,0),MATCH(calc_cohort!$E$2,table_mortality_rate!A$1:C$1,0))</f>
        <v>0.001014</v>
      </c>
      <c r="E120" s="0" t="n">
        <f aca="false">(1-D120)^constant!$B$1</f>
        <v>0.999915460703165</v>
      </c>
      <c r="F120" s="0" t="n">
        <f aca="false">IF(A120=0,1,F119*E120)</f>
        <v>0.99277648538797</v>
      </c>
      <c r="G120" s="5" t="b">
        <f aca="false">B120&gt;=calc_cohort!C$2</f>
        <v>0</v>
      </c>
      <c r="H120" s="0" t="n">
        <f aca="false">IF(G120,1,0)</f>
        <v>0</v>
      </c>
      <c r="I120" s="0" t="n">
        <f aca="false">calc_cohort!$B$2*constant!$B$1*F120*H120</f>
        <v>0</v>
      </c>
      <c r="J120" s="0" t="n">
        <f aca="false">INDEX(table_spot_rate!B$1:B$2000,MATCH(A120,table_spot_rate!A$1:A$2000,0))</f>
        <v>0.0536312399646313</v>
      </c>
      <c r="K120" s="0" t="n">
        <f aca="false">(1+J120)^(-A120*constant!$B$1)</f>
        <v>0.598267003817743</v>
      </c>
      <c r="L120" s="0" t="n">
        <f aca="false">K120*I120</f>
        <v>0</v>
      </c>
    </row>
    <row r="121" customFormat="false" ht="12.8" hidden="false" customHeight="false" outlineLevel="0" collapsed="false">
      <c r="A121" s="0" t="n">
        <v>119</v>
      </c>
      <c r="B121" s="0" t="n">
        <f aca="false">calc_cohort!D$2+constant!$B$1*A121</f>
        <v>41.1166666666667</v>
      </c>
      <c r="C121" s="0" t="n">
        <f aca="false">_xlfn.FLOOR.MATH(B121)</f>
        <v>41</v>
      </c>
      <c r="D121" s="4" t="n">
        <f aca="false">INDEX(table_mortality_rate!$A$1:$C$2000,MATCH(C121,table_mortality_rate!$A$1:$A$2000,0),MATCH(calc_cohort!$E$2,table_mortality_rate!A$1:C$1,0))</f>
        <v>0.001014</v>
      </c>
      <c r="E121" s="0" t="n">
        <f aca="false">(1-D121)^constant!$B$1</f>
        <v>0.999915460703165</v>
      </c>
      <c r="F121" s="0" t="n">
        <f aca="false">IF(A121=0,1,F120*E121)</f>
        <v>0.99269255676198</v>
      </c>
      <c r="G121" s="5" t="b">
        <f aca="false">B121&gt;=calc_cohort!C$2</f>
        <v>0</v>
      </c>
      <c r="H121" s="0" t="n">
        <f aca="false">IF(G121,1,0)</f>
        <v>0</v>
      </c>
      <c r="I121" s="0" t="n">
        <f aca="false">calc_cohort!$B$2*constant!$B$1*F121*H121</f>
        <v>0</v>
      </c>
      <c r="J121" s="0" t="n">
        <f aca="false">INDEX(table_spot_rate!B$1:B$2000,MATCH(A121,table_spot_rate!A$1:A$2000,0))</f>
        <v>0.05286873703212</v>
      </c>
      <c r="K121" s="0" t="n">
        <f aca="false">(1+J121)^(-A121*constant!$B$1)</f>
        <v>0.599959888909251</v>
      </c>
      <c r="L121" s="0" t="n">
        <f aca="false">K121*I121</f>
        <v>0</v>
      </c>
    </row>
    <row r="122" customFormat="false" ht="12.8" hidden="false" customHeight="false" outlineLevel="0" collapsed="false">
      <c r="A122" s="0" t="n">
        <v>120</v>
      </c>
      <c r="B122" s="0" t="n">
        <f aca="false">calc_cohort!D$2+constant!$B$1*A122</f>
        <v>41.2</v>
      </c>
      <c r="C122" s="0" t="n">
        <f aca="false">_xlfn.FLOOR.MATH(B122)</f>
        <v>41</v>
      </c>
      <c r="D122" s="4" t="n">
        <f aca="false">INDEX(table_mortality_rate!$A$1:$C$2000,MATCH(C122,table_mortality_rate!$A$1:$A$2000,0),MATCH(calc_cohort!$E$2,table_mortality_rate!A$1:C$1,0))</f>
        <v>0.001014</v>
      </c>
      <c r="E122" s="0" t="n">
        <f aca="false">(1-D122)^constant!$B$1</f>
        <v>0.999915460703165</v>
      </c>
      <c r="F122" s="0" t="n">
        <f aca="false">IF(A122=0,1,F121*E122)</f>
        <v>0.992608635231258</v>
      </c>
      <c r="G122" s="5" t="b">
        <f aca="false">B122&gt;=calc_cohort!C$2</f>
        <v>0</v>
      </c>
      <c r="H122" s="0" t="n">
        <f aca="false">IF(G122,1,0)</f>
        <v>0</v>
      </c>
      <c r="I122" s="0" t="n">
        <f aca="false">calc_cohort!$B$2*constant!$B$1*F122*H122</f>
        <v>0</v>
      </c>
      <c r="J122" s="0" t="n">
        <f aca="false">INDEX(table_spot_rate!B$1:B$2000,MATCH(A122,table_spot_rate!A$1:A$2000,0))</f>
        <v>0.0504987780774012</v>
      </c>
      <c r="K122" s="0" t="n">
        <f aca="false">(1+J122)^(-A122*constant!$B$1)</f>
        <v>0.61100460610639</v>
      </c>
      <c r="L122" s="0" t="n">
        <f aca="false">K122*I122</f>
        <v>0</v>
      </c>
    </row>
    <row r="123" customFormat="false" ht="12.8" hidden="false" customHeight="false" outlineLevel="0" collapsed="false">
      <c r="A123" s="0" t="n">
        <v>121</v>
      </c>
      <c r="B123" s="0" t="n">
        <f aca="false">calc_cohort!D$2+constant!$B$1*A123</f>
        <v>41.2833333333333</v>
      </c>
      <c r="C123" s="0" t="n">
        <f aca="false">_xlfn.FLOOR.MATH(B123)</f>
        <v>41</v>
      </c>
      <c r="D123" s="4" t="n">
        <f aca="false">INDEX(table_mortality_rate!$A$1:$C$2000,MATCH(C123,table_mortality_rate!$A$1:$A$2000,0),MATCH(calc_cohort!$E$2,table_mortality_rate!A$1:C$1,0))</f>
        <v>0.001014</v>
      </c>
      <c r="E123" s="0" t="n">
        <f aca="false">(1-D123)^constant!$B$1</f>
        <v>0.999915460703165</v>
      </c>
      <c r="F123" s="0" t="n">
        <f aca="false">IF(A123=0,1,F122*E123)</f>
        <v>0.992524720795203</v>
      </c>
      <c r="G123" s="5" t="b">
        <f aca="false">B123&gt;=calc_cohort!C$2</f>
        <v>0</v>
      </c>
      <c r="H123" s="0" t="n">
        <f aca="false">IF(G123,1,0)</f>
        <v>0</v>
      </c>
      <c r="I123" s="0" t="n">
        <f aca="false">calc_cohort!$B$2*constant!$B$1*F123*H123</f>
        <v>0</v>
      </c>
      <c r="J123" s="0" t="n">
        <f aca="false">INDEX(table_spot_rate!B$1:B$2000,MATCH(A123,table_spot_rate!A$1:A$2000,0))</f>
        <v>0.0518685825161209</v>
      </c>
      <c r="K123" s="0" t="n">
        <f aca="false">(1+J123)^(-A123*constant!$B$1)</f>
        <v>0.600558114730686</v>
      </c>
      <c r="L123" s="0" t="n">
        <f aca="false">K123*I123</f>
        <v>0</v>
      </c>
    </row>
    <row r="124" customFormat="false" ht="12.8" hidden="false" customHeight="false" outlineLevel="0" collapsed="false">
      <c r="A124" s="0" t="n">
        <v>122</v>
      </c>
      <c r="B124" s="0" t="n">
        <f aca="false">calc_cohort!D$2+constant!$B$1*A124</f>
        <v>41.3666666666667</v>
      </c>
      <c r="C124" s="0" t="n">
        <f aca="false">_xlfn.FLOOR.MATH(B124)</f>
        <v>41</v>
      </c>
      <c r="D124" s="4" t="n">
        <f aca="false">INDEX(table_mortality_rate!$A$1:$C$2000,MATCH(C124,table_mortality_rate!$A$1:$A$2000,0),MATCH(calc_cohort!$E$2,table_mortality_rate!A$1:C$1,0))</f>
        <v>0.001014</v>
      </c>
      <c r="E124" s="0" t="n">
        <f aca="false">(1-D124)^constant!$B$1</f>
        <v>0.999915460703165</v>
      </c>
      <c r="F124" s="0" t="n">
        <f aca="false">IF(A124=0,1,F123*E124)</f>
        <v>0.992440813453216</v>
      </c>
      <c r="G124" s="5" t="b">
        <f aca="false">B124&gt;=calc_cohort!C$2</f>
        <v>0</v>
      </c>
      <c r="H124" s="0" t="n">
        <f aca="false">IF(G124,1,0)</f>
        <v>0</v>
      </c>
      <c r="I124" s="0" t="n">
        <f aca="false">calc_cohort!$B$2*constant!$B$1*F124*H124</f>
        <v>0</v>
      </c>
      <c r="J124" s="0" t="n">
        <f aca="false">INDEX(table_spot_rate!B$1:B$2000,MATCH(A124,table_spot_rate!A$1:A$2000,0))</f>
        <v>0.0512374069261003</v>
      </c>
      <c r="K124" s="0" t="n">
        <f aca="false">(1+J124)^(-A124*constant!$B$1)</f>
        <v>0.601693245154966</v>
      </c>
      <c r="L124" s="0" t="n">
        <f aca="false">K124*I124</f>
        <v>0</v>
      </c>
    </row>
    <row r="125" customFormat="false" ht="12.8" hidden="false" customHeight="false" outlineLevel="0" collapsed="false">
      <c r="A125" s="0" t="n">
        <v>123</v>
      </c>
      <c r="B125" s="0" t="n">
        <f aca="false">calc_cohort!D$2+constant!$B$1*A125</f>
        <v>41.45</v>
      </c>
      <c r="C125" s="0" t="n">
        <f aca="false">_xlfn.FLOOR.MATH(B125)</f>
        <v>41</v>
      </c>
      <c r="D125" s="4" t="n">
        <f aca="false">INDEX(table_mortality_rate!$A$1:$C$2000,MATCH(C125,table_mortality_rate!$A$1:$A$2000,0),MATCH(calc_cohort!$E$2,table_mortality_rate!A$1:C$1,0))</f>
        <v>0.001014</v>
      </c>
      <c r="E125" s="0" t="n">
        <f aca="false">(1-D125)^constant!$B$1</f>
        <v>0.999915460703165</v>
      </c>
      <c r="F125" s="0" t="n">
        <f aca="false">IF(A125=0,1,F124*E125)</f>
        <v>0.992356913204696</v>
      </c>
      <c r="G125" s="5" t="b">
        <f aca="false">B125&gt;=calc_cohort!C$2</f>
        <v>0</v>
      </c>
      <c r="H125" s="0" t="n">
        <f aca="false">IF(G125,1,0)</f>
        <v>0</v>
      </c>
      <c r="I125" s="0" t="n">
        <f aca="false">calc_cohort!$B$2*constant!$B$1*F125*H125</f>
        <v>0</v>
      </c>
      <c r="J125" s="0" t="n">
        <f aca="false">INDEX(table_spot_rate!B$1:B$2000,MATCH(A125,table_spot_rate!A$1:A$2000,0))</f>
        <v>0.051682625688146</v>
      </c>
      <c r="K125" s="0" t="n">
        <f aca="false">(1+J125)^(-A125*constant!$B$1)</f>
        <v>0.596598054756943</v>
      </c>
      <c r="L125" s="0" t="n">
        <f aca="false">K125*I125</f>
        <v>0</v>
      </c>
    </row>
    <row r="126" customFormat="false" ht="12.8" hidden="false" customHeight="false" outlineLevel="0" collapsed="false">
      <c r="A126" s="0" t="n">
        <v>124</v>
      </c>
      <c r="B126" s="0" t="n">
        <f aca="false">calc_cohort!D$2+constant!$B$1*A126</f>
        <v>41.5333333333333</v>
      </c>
      <c r="C126" s="0" t="n">
        <f aca="false">_xlfn.FLOOR.MATH(B126)</f>
        <v>41</v>
      </c>
      <c r="D126" s="4" t="n">
        <f aca="false">INDEX(table_mortality_rate!$A$1:$C$2000,MATCH(C126,table_mortality_rate!$A$1:$A$2000,0),MATCH(calc_cohort!$E$2,table_mortality_rate!A$1:C$1,0))</f>
        <v>0.001014</v>
      </c>
      <c r="E126" s="0" t="n">
        <f aca="false">(1-D126)^constant!$B$1</f>
        <v>0.999915460703165</v>
      </c>
      <c r="F126" s="0" t="n">
        <f aca="false">IF(A126=0,1,F125*E126)</f>
        <v>0.992273020049044</v>
      </c>
      <c r="G126" s="5" t="b">
        <f aca="false">B126&gt;=calc_cohort!C$2</f>
        <v>0</v>
      </c>
      <c r="H126" s="0" t="n">
        <f aca="false">IF(G126,1,0)</f>
        <v>0</v>
      </c>
      <c r="I126" s="0" t="n">
        <f aca="false">calc_cohort!$B$2*constant!$B$1*F126*H126</f>
        <v>0</v>
      </c>
      <c r="J126" s="0" t="n">
        <f aca="false">INDEX(table_spot_rate!B$1:B$2000,MATCH(A126,table_spot_rate!A$1:A$2000,0))</f>
        <v>0.054605848427475</v>
      </c>
      <c r="K126" s="0" t="n">
        <f aca="false">(1+J126)^(-A126*constant!$B$1)</f>
        <v>0.577299950924229</v>
      </c>
      <c r="L126" s="0" t="n">
        <f aca="false">K126*I126</f>
        <v>0</v>
      </c>
    </row>
    <row r="127" customFormat="false" ht="12.8" hidden="false" customHeight="false" outlineLevel="0" collapsed="false">
      <c r="A127" s="0" t="n">
        <v>125</v>
      </c>
      <c r="B127" s="0" t="n">
        <f aca="false">calc_cohort!D$2+constant!$B$1*A127</f>
        <v>41.6166666666667</v>
      </c>
      <c r="C127" s="0" t="n">
        <f aca="false">_xlfn.FLOOR.MATH(B127)</f>
        <v>41</v>
      </c>
      <c r="D127" s="4" t="n">
        <f aca="false">INDEX(table_mortality_rate!$A$1:$C$2000,MATCH(C127,table_mortality_rate!$A$1:$A$2000,0),MATCH(calc_cohort!$E$2,table_mortality_rate!A$1:C$1,0))</f>
        <v>0.001014</v>
      </c>
      <c r="E127" s="0" t="n">
        <f aca="false">(1-D127)^constant!$B$1</f>
        <v>0.999915460703165</v>
      </c>
      <c r="F127" s="0" t="n">
        <f aca="false">IF(A127=0,1,F126*E127)</f>
        <v>0.992189133985661</v>
      </c>
      <c r="G127" s="5" t="b">
        <f aca="false">B127&gt;=calc_cohort!C$2</f>
        <v>0</v>
      </c>
      <c r="H127" s="0" t="n">
        <f aca="false">IF(G127,1,0)</f>
        <v>0</v>
      </c>
      <c r="I127" s="0" t="n">
        <f aca="false">calc_cohort!$B$2*constant!$B$1*F127*H127</f>
        <v>0</v>
      </c>
      <c r="J127" s="0" t="n">
        <f aca="false">INDEX(table_spot_rate!B$1:B$2000,MATCH(A127,table_spot_rate!A$1:A$2000,0))</f>
        <v>0.0502739811901456</v>
      </c>
      <c r="K127" s="0" t="n">
        <f aca="false">(1+J127)^(-A127*constant!$B$1)</f>
        <v>0.599926225053334</v>
      </c>
      <c r="L127" s="0" t="n">
        <f aca="false">K127*I127</f>
        <v>0</v>
      </c>
    </row>
    <row r="128" customFormat="false" ht="12.8" hidden="false" customHeight="false" outlineLevel="0" collapsed="false">
      <c r="A128" s="0" t="n">
        <v>126</v>
      </c>
      <c r="B128" s="0" t="n">
        <f aca="false">calc_cohort!D$2+constant!$B$1*A128</f>
        <v>41.7</v>
      </c>
      <c r="C128" s="0" t="n">
        <f aca="false">_xlfn.FLOOR.MATH(B128)</f>
        <v>41</v>
      </c>
      <c r="D128" s="4" t="n">
        <f aca="false">INDEX(table_mortality_rate!$A$1:$C$2000,MATCH(C128,table_mortality_rate!$A$1:$A$2000,0),MATCH(calc_cohort!$E$2,table_mortality_rate!A$1:C$1,0))</f>
        <v>0.001014</v>
      </c>
      <c r="E128" s="0" t="n">
        <f aca="false">(1-D128)^constant!$B$1</f>
        <v>0.999915460703165</v>
      </c>
      <c r="F128" s="0" t="n">
        <f aca="false">IF(A128=0,1,F127*E128)</f>
        <v>0.992105255013946</v>
      </c>
      <c r="G128" s="5" t="b">
        <f aca="false">B128&gt;=calc_cohort!C$2</f>
        <v>0</v>
      </c>
      <c r="H128" s="0" t="n">
        <f aca="false">IF(G128,1,0)</f>
        <v>0</v>
      </c>
      <c r="I128" s="0" t="n">
        <f aca="false">calc_cohort!$B$2*constant!$B$1*F128*H128</f>
        <v>0</v>
      </c>
      <c r="J128" s="0" t="n">
        <f aca="false">INDEX(table_spot_rate!B$1:B$2000,MATCH(A128,table_spot_rate!A$1:A$2000,0))</f>
        <v>0.0587207899159139</v>
      </c>
      <c r="K128" s="0" t="n">
        <f aca="false">(1+J128)^(-A128*constant!$B$1)</f>
        <v>0.549281365907224</v>
      </c>
      <c r="L128" s="0" t="n">
        <f aca="false">K128*I128</f>
        <v>0</v>
      </c>
    </row>
    <row r="129" customFormat="false" ht="12.8" hidden="false" customHeight="false" outlineLevel="0" collapsed="false">
      <c r="A129" s="0" t="n">
        <v>127</v>
      </c>
      <c r="B129" s="0" t="n">
        <f aca="false">calc_cohort!D$2+constant!$B$1*A129</f>
        <v>41.7833333333333</v>
      </c>
      <c r="C129" s="0" t="n">
        <f aca="false">_xlfn.FLOOR.MATH(B129)</f>
        <v>41</v>
      </c>
      <c r="D129" s="4" t="n">
        <f aca="false">INDEX(table_mortality_rate!$A$1:$C$2000,MATCH(C129,table_mortality_rate!$A$1:$A$2000,0),MATCH(calc_cohort!$E$2,table_mortality_rate!A$1:C$1,0))</f>
        <v>0.001014</v>
      </c>
      <c r="E129" s="0" t="n">
        <f aca="false">(1-D129)^constant!$B$1</f>
        <v>0.999915460703165</v>
      </c>
      <c r="F129" s="0" t="n">
        <f aca="false">IF(A129=0,1,F128*E129)</f>
        <v>0.992021383133301</v>
      </c>
      <c r="G129" s="5" t="b">
        <f aca="false">B129&gt;=calc_cohort!C$2</f>
        <v>0</v>
      </c>
      <c r="H129" s="0" t="n">
        <f aca="false">IF(G129,1,0)</f>
        <v>0</v>
      </c>
      <c r="I129" s="0" t="n">
        <f aca="false">calc_cohort!$B$2*constant!$B$1*F129*H129</f>
        <v>0</v>
      </c>
      <c r="J129" s="0" t="n">
        <f aca="false">INDEX(table_spot_rate!B$1:B$2000,MATCH(A129,table_spot_rate!A$1:A$2000,0))</f>
        <v>0.0578041250009085</v>
      </c>
      <c r="K129" s="0" t="n">
        <f aca="false">(1+J129)^(-A129*constant!$B$1)</f>
        <v>0.551710231381011</v>
      </c>
      <c r="L129" s="0" t="n">
        <f aca="false">K129*I129</f>
        <v>0</v>
      </c>
    </row>
    <row r="130" customFormat="false" ht="12.8" hidden="false" customHeight="false" outlineLevel="0" collapsed="false">
      <c r="A130" s="0" t="n">
        <v>128</v>
      </c>
      <c r="B130" s="0" t="n">
        <f aca="false">calc_cohort!D$2+constant!$B$1*A130</f>
        <v>41.8666666666667</v>
      </c>
      <c r="C130" s="0" t="n">
        <f aca="false">_xlfn.FLOOR.MATH(B130)</f>
        <v>41</v>
      </c>
      <c r="D130" s="4" t="n">
        <f aca="false">INDEX(table_mortality_rate!$A$1:$C$2000,MATCH(C130,table_mortality_rate!$A$1:$A$2000,0),MATCH(calc_cohort!$E$2,table_mortality_rate!A$1:C$1,0))</f>
        <v>0.001014</v>
      </c>
      <c r="E130" s="0" t="n">
        <f aca="false">(1-D130)^constant!$B$1</f>
        <v>0.999915460703165</v>
      </c>
      <c r="F130" s="0" t="n">
        <f aca="false">IF(A130=0,1,F129*E130)</f>
        <v>0.991937518343125</v>
      </c>
      <c r="G130" s="5" t="b">
        <f aca="false">B130&gt;=calc_cohort!C$2</f>
        <v>0</v>
      </c>
      <c r="H130" s="0" t="n">
        <f aca="false">IF(G130,1,0)</f>
        <v>0</v>
      </c>
      <c r="I130" s="0" t="n">
        <f aca="false">calc_cohort!$B$2*constant!$B$1*F130*H130</f>
        <v>0</v>
      </c>
      <c r="J130" s="0" t="n">
        <f aca="false">INDEX(table_spot_rate!B$1:B$2000,MATCH(A130,table_spot_rate!A$1:A$2000,0))</f>
        <v>0.0544742978932592</v>
      </c>
      <c r="K130" s="0" t="n">
        <f aca="false">(1+J130)^(-A130*constant!$B$1)</f>
        <v>0.567914140023603</v>
      </c>
      <c r="L130" s="0" t="n">
        <f aca="false">K130*I130</f>
        <v>0</v>
      </c>
    </row>
    <row r="131" customFormat="false" ht="12.8" hidden="false" customHeight="false" outlineLevel="0" collapsed="false">
      <c r="A131" s="0" t="n">
        <v>129</v>
      </c>
      <c r="B131" s="0" t="n">
        <f aca="false">calc_cohort!D$2+constant!$B$1*A131</f>
        <v>41.95</v>
      </c>
      <c r="C131" s="0" t="n">
        <f aca="false">_xlfn.FLOOR.MATH(B131)</f>
        <v>41</v>
      </c>
      <c r="D131" s="4" t="n">
        <f aca="false">INDEX(table_mortality_rate!$A$1:$C$2000,MATCH(C131,table_mortality_rate!$A$1:$A$2000,0),MATCH(calc_cohort!$E$2,table_mortality_rate!A$1:C$1,0))</f>
        <v>0.001014</v>
      </c>
      <c r="E131" s="0" t="n">
        <f aca="false">(1-D131)^constant!$B$1</f>
        <v>0.999915460703165</v>
      </c>
      <c r="F131" s="0" t="n">
        <f aca="false">IF(A131=0,1,F130*E131)</f>
        <v>0.99185366064282</v>
      </c>
      <c r="G131" s="5" t="b">
        <f aca="false">B131&gt;=calc_cohort!C$2</f>
        <v>0</v>
      </c>
      <c r="H131" s="0" t="n">
        <f aca="false">IF(G131,1,0)</f>
        <v>0</v>
      </c>
      <c r="I131" s="0" t="n">
        <f aca="false">calc_cohort!$B$2*constant!$B$1*F131*H131</f>
        <v>0</v>
      </c>
      <c r="J131" s="0" t="n">
        <f aca="false">INDEX(table_spot_rate!B$1:B$2000,MATCH(A131,table_spot_rate!A$1:A$2000,0))</f>
        <v>0.0535532045986838</v>
      </c>
      <c r="K131" s="0" t="n">
        <f aca="false">(1+J131)^(-A131*constant!$B$1)</f>
        <v>0.570746058924919</v>
      </c>
      <c r="L131" s="0" t="n">
        <f aca="false">K131*I131</f>
        <v>0</v>
      </c>
    </row>
    <row r="132" customFormat="false" ht="12.8" hidden="false" customHeight="false" outlineLevel="0" collapsed="false">
      <c r="A132" s="0" t="n">
        <v>130</v>
      </c>
      <c r="B132" s="0" t="n">
        <f aca="false">calc_cohort!D$2+constant!$B$1*A132</f>
        <v>42.0333333333333</v>
      </c>
      <c r="C132" s="0" t="n">
        <f aca="false">_xlfn.FLOOR.MATH(B132)</f>
        <v>42</v>
      </c>
      <c r="D132" s="4" t="n">
        <f aca="false">INDEX(table_mortality_rate!$A$1:$C$2000,MATCH(C132,table_mortality_rate!$A$1:$A$2000,0),MATCH(calc_cohort!$E$2,table_mortality_rate!A$1:C$1,0))</f>
        <v>0.001104</v>
      </c>
      <c r="E132" s="0" t="n">
        <f aca="false">(1-D132)^constant!$B$1</f>
        <v>0.999907953415139</v>
      </c>
      <c r="F132" s="0" t="n">
        <f aca="false">IF(A132=0,1,F131*E132)</f>
        <v>0.991762363900676</v>
      </c>
      <c r="G132" s="5" t="b">
        <f aca="false">B132&gt;=calc_cohort!C$2</f>
        <v>0</v>
      </c>
      <c r="H132" s="0" t="n">
        <f aca="false">IF(G132,1,0)</f>
        <v>0</v>
      </c>
      <c r="I132" s="0" t="n">
        <f aca="false">calc_cohort!$B$2*constant!$B$1*F132*H132</f>
        <v>0</v>
      </c>
      <c r="J132" s="0" t="n">
        <f aca="false">INDEX(table_spot_rate!B$1:B$2000,MATCH(A132,table_spot_rate!A$1:A$2000,0))</f>
        <v>0.0531763124753711</v>
      </c>
      <c r="K132" s="0" t="n">
        <f aca="false">(1+J132)^(-A132*constant!$B$1)</f>
        <v>0.5704771736231</v>
      </c>
      <c r="L132" s="0" t="n">
        <f aca="false">K132*I132</f>
        <v>0</v>
      </c>
    </row>
    <row r="133" customFormat="false" ht="12.8" hidden="false" customHeight="false" outlineLevel="0" collapsed="false">
      <c r="A133" s="0" t="n">
        <v>131</v>
      </c>
      <c r="B133" s="0" t="n">
        <f aca="false">calc_cohort!D$2+constant!$B$1*A133</f>
        <v>42.1166666666667</v>
      </c>
      <c r="C133" s="0" t="n">
        <f aca="false">_xlfn.FLOOR.MATH(B133)</f>
        <v>42</v>
      </c>
      <c r="D133" s="4" t="n">
        <f aca="false">INDEX(table_mortality_rate!$A$1:$C$2000,MATCH(C133,table_mortality_rate!$A$1:$A$2000,0),MATCH(calc_cohort!$E$2,table_mortality_rate!A$1:C$1,0))</f>
        <v>0.001104</v>
      </c>
      <c r="E133" s="0" t="n">
        <f aca="false">(1-D133)^constant!$B$1</f>
        <v>0.999907953415139</v>
      </c>
      <c r="F133" s="0" t="n">
        <f aca="false">IF(A133=0,1,F132*E133)</f>
        <v>0.991671075562085</v>
      </c>
      <c r="G133" s="5" t="b">
        <f aca="false">B133&gt;=calc_cohort!C$2</f>
        <v>0</v>
      </c>
      <c r="H133" s="0" t="n">
        <f aca="false">IF(G133,1,0)</f>
        <v>0</v>
      </c>
      <c r="I133" s="0" t="n">
        <f aca="false">calc_cohort!$B$2*constant!$B$1*F133*H133</f>
        <v>0</v>
      </c>
      <c r="J133" s="0" t="n">
        <f aca="false">INDEX(table_spot_rate!B$1:B$2000,MATCH(A133,table_spot_rate!A$1:A$2000,0))</f>
        <v>0.0540725352614282</v>
      </c>
      <c r="K133" s="0" t="n">
        <f aca="false">(1+J133)^(-A133*constant!$B$1)</f>
        <v>0.562769304603527</v>
      </c>
      <c r="L133" s="0" t="n">
        <f aca="false">K133*I133</f>
        <v>0</v>
      </c>
    </row>
    <row r="134" customFormat="false" ht="12.8" hidden="false" customHeight="false" outlineLevel="0" collapsed="false">
      <c r="A134" s="0" t="n">
        <v>132</v>
      </c>
      <c r="B134" s="0" t="n">
        <f aca="false">calc_cohort!D$2+constant!$B$1*A134</f>
        <v>42.2</v>
      </c>
      <c r="C134" s="0" t="n">
        <f aca="false">_xlfn.FLOOR.MATH(B134)</f>
        <v>42</v>
      </c>
      <c r="D134" s="4" t="n">
        <f aca="false">INDEX(table_mortality_rate!$A$1:$C$2000,MATCH(C134,table_mortality_rate!$A$1:$A$2000,0),MATCH(calc_cohort!$E$2,table_mortality_rate!A$1:C$1,0))</f>
        <v>0.001104</v>
      </c>
      <c r="E134" s="0" t="n">
        <f aca="false">(1-D134)^constant!$B$1</f>
        <v>0.999907953415139</v>
      </c>
      <c r="F134" s="0" t="n">
        <f aca="false">IF(A134=0,1,F133*E134)</f>
        <v>0.991579795626274</v>
      </c>
      <c r="G134" s="5" t="b">
        <f aca="false">B134&gt;=calc_cohort!C$2</f>
        <v>0</v>
      </c>
      <c r="H134" s="0" t="n">
        <f aca="false">IF(G134,1,0)</f>
        <v>0</v>
      </c>
      <c r="I134" s="0" t="n">
        <f aca="false">calc_cohort!$B$2*constant!$B$1*F134*H134</f>
        <v>0</v>
      </c>
      <c r="J134" s="0" t="n">
        <f aca="false">INDEX(table_spot_rate!B$1:B$2000,MATCH(A134,table_spot_rate!A$1:A$2000,0))</f>
        <v>0.0548203594810805</v>
      </c>
      <c r="K134" s="0" t="n">
        <f aca="false">(1+J134)^(-A134*constant!$B$1)</f>
        <v>0.555950928000986</v>
      </c>
      <c r="L134" s="0" t="n">
        <f aca="false">K134*I134</f>
        <v>0</v>
      </c>
    </row>
    <row r="135" customFormat="false" ht="12.8" hidden="false" customHeight="false" outlineLevel="0" collapsed="false">
      <c r="A135" s="0" t="n">
        <v>133</v>
      </c>
      <c r="B135" s="0" t="n">
        <f aca="false">calc_cohort!D$2+constant!$B$1*A135</f>
        <v>42.2833333333333</v>
      </c>
      <c r="C135" s="0" t="n">
        <f aca="false">_xlfn.FLOOR.MATH(B135)</f>
        <v>42</v>
      </c>
      <c r="D135" s="4" t="n">
        <f aca="false">INDEX(table_mortality_rate!$A$1:$C$2000,MATCH(C135,table_mortality_rate!$A$1:$A$2000,0),MATCH(calc_cohort!$E$2,table_mortality_rate!A$1:C$1,0))</f>
        <v>0.001104</v>
      </c>
      <c r="E135" s="0" t="n">
        <f aca="false">(1-D135)^constant!$B$1</f>
        <v>0.999907953415139</v>
      </c>
      <c r="F135" s="0" t="n">
        <f aca="false">IF(A135=0,1,F134*E135)</f>
        <v>0.991488524092469</v>
      </c>
      <c r="G135" s="5" t="b">
        <f aca="false">B135&gt;=calc_cohort!C$2</f>
        <v>0</v>
      </c>
      <c r="H135" s="0" t="n">
        <f aca="false">IF(G135,1,0)</f>
        <v>0</v>
      </c>
      <c r="I135" s="0" t="n">
        <f aca="false">calc_cohort!$B$2*constant!$B$1*F135*H135</f>
        <v>0</v>
      </c>
      <c r="J135" s="0" t="n">
        <f aca="false">INDEX(table_spot_rate!B$1:B$2000,MATCH(A135,table_spot_rate!A$1:A$2000,0))</f>
        <v>0.0581695072276597</v>
      </c>
      <c r="K135" s="0" t="n">
        <f aca="false">(1+J135)^(-A135*constant!$B$1)</f>
        <v>0.53437491390981</v>
      </c>
      <c r="L135" s="0" t="n">
        <f aca="false">K135*I135</f>
        <v>0</v>
      </c>
    </row>
    <row r="136" customFormat="false" ht="12.8" hidden="false" customHeight="false" outlineLevel="0" collapsed="false">
      <c r="A136" s="0" t="n">
        <v>134</v>
      </c>
      <c r="B136" s="0" t="n">
        <f aca="false">calc_cohort!D$2+constant!$B$1*A136</f>
        <v>42.3666666666667</v>
      </c>
      <c r="C136" s="0" t="n">
        <f aca="false">_xlfn.FLOOR.MATH(B136)</f>
        <v>42</v>
      </c>
      <c r="D136" s="4" t="n">
        <f aca="false">INDEX(table_mortality_rate!$A$1:$C$2000,MATCH(C136,table_mortality_rate!$A$1:$A$2000,0),MATCH(calc_cohort!$E$2,table_mortality_rate!A$1:C$1,0))</f>
        <v>0.001104</v>
      </c>
      <c r="E136" s="0" t="n">
        <f aca="false">(1-D136)^constant!$B$1</f>
        <v>0.999907953415139</v>
      </c>
      <c r="F136" s="0" t="n">
        <f aca="false">IF(A136=0,1,F135*E136)</f>
        <v>0.991397260959897</v>
      </c>
      <c r="G136" s="5" t="b">
        <f aca="false">B136&gt;=calc_cohort!C$2</f>
        <v>0</v>
      </c>
      <c r="H136" s="0" t="n">
        <f aca="false">IF(G136,1,0)</f>
        <v>0</v>
      </c>
      <c r="I136" s="0" t="n">
        <f aca="false">calc_cohort!$B$2*constant!$B$1*F136*H136</f>
        <v>0</v>
      </c>
      <c r="J136" s="0" t="n">
        <f aca="false">INDEX(table_spot_rate!B$1:B$2000,MATCH(A136,table_spot_rate!A$1:A$2000,0))</f>
        <v>0.0547528480747441</v>
      </c>
      <c r="K136" s="0" t="n">
        <f aca="false">(1+J136)^(-A136*constant!$B$1)</f>
        <v>0.551421600713021</v>
      </c>
      <c r="L136" s="0" t="n">
        <f aca="false">K136*I136</f>
        <v>0</v>
      </c>
    </row>
    <row r="137" customFormat="false" ht="12.8" hidden="false" customHeight="false" outlineLevel="0" collapsed="false">
      <c r="A137" s="0" t="n">
        <v>135</v>
      </c>
      <c r="B137" s="0" t="n">
        <f aca="false">calc_cohort!D$2+constant!$B$1*A137</f>
        <v>42.45</v>
      </c>
      <c r="C137" s="0" t="n">
        <f aca="false">_xlfn.FLOOR.MATH(B137)</f>
        <v>42</v>
      </c>
      <c r="D137" s="4" t="n">
        <f aca="false">INDEX(table_mortality_rate!$A$1:$C$2000,MATCH(C137,table_mortality_rate!$A$1:$A$2000,0),MATCH(calc_cohort!$E$2,table_mortality_rate!A$1:C$1,0))</f>
        <v>0.001104</v>
      </c>
      <c r="E137" s="0" t="n">
        <f aca="false">(1-D137)^constant!$B$1</f>
        <v>0.999907953415139</v>
      </c>
      <c r="F137" s="0" t="n">
        <f aca="false">IF(A137=0,1,F136*E137)</f>
        <v>0.991306006227785</v>
      </c>
      <c r="G137" s="5" t="b">
        <f aca="false">B137&gt;=calc_cohort!C$2</f>
        <v>0</v>
      </c>
      <c r="H137" s="0" t="n">
        <f aca="false">IF(G137,1,0)</f>
        <v>0</v>
      </c>
      <c r="I137" s="0" t="n">
        <f aca="false">calc_cohort!$B$2*constant!$B$1*F137*H137</f>
        <v>0</v>
      </c>
      <c r="J137" s="0" t="n">
        <f aca="false">INDEX(table_spot_rate!B$1:B$2000,MATCH(A137,table_spot_rate!A$1:A$2000,0))</f>
        <v>0.0568907317272224</v>
      </c>
      <c r="K137" s="0" t="n">
        <f aca="false">(1+J137)^(-A137*constant!$B$1)</f>
        <v>0.536613375952466</v>
      </c>
      <c r="L137" s="0" t="n">
        <f aca="false">K137*I137</f>
        <v>0</v>
      </c>
    </row>
    <row r="138" customFormat="false" ht="12.8" hidden="false" customHeight="false" outlineLevel="0" collapsed="false">
      <c r="A138" s="0" t="n">
        <v>136</v>
      </c>
      <c r="B138" s="0" t="n">
        <f aca="false">calc_cohort!D$2+constant!$B$1*A138</f>
        <v>42.5333333333333</v>
      </c>
      <c r="C138" s="0" t="n">
        <f aca="false">_xlfn.FLOOR.MATH(B138)</f>
        <v>42</v>
      </c>
      <c r="D138" s="4" t="n">
        <f aca="false">INDEX(table_mortality_rate!$A$1:$C$2000,MATCH(C138,table_mortality_rate!$A$1:$A$2000,0),MATCH(calc_cohort!$E$2,table_mortality_rate!A$1:C$1,0))</f>
        <v>0.001104</v>
      </c>
      <c r="E138" s="0" t="n">
        <f aca="false">(1-D138)^constant!$B$1</f>
        <v>0.999907953415139</v>
      </c>
      <c r="F138" s="0" t="n">
        <f aca="false">IF(A138=0,1,F137*E138)</f>
        <v>0.99121475989536</v>
      </c>
      <c r="G138" s="5" t="b">
        <f aca="false">B138&gt;=calc_cohort!C$2</f>
        <v>0</v>
      </c>
      <c r="H138" s="0" t="n">
        <f aca="false">IF(G138,1,0)</f>
        <v>0</v>
      </c>
      <c r="I138" s="0" t="n">
        <f aca="false">calc_cohort!$B$2*constant!$B$1*F138*H138</f>
        <v>0</v>
      </c>
      <c r="J138" s="0" t="n">
        <f aca="false">INDEX(table_spot_rate!B$1:B$2000,MATCH(A138,table_spot_rate!A$1:A$2000,0))</f>
        <v>0.0577845185934164</v>
      </c>
      <c r="K138" s="0" t="n">
        <f aca="false">(1+J138)^(-A138*constant!$B$1)</f>
        <v>0.529051957952833</v>
      </c>
      <c r="L138" s="0" t="n">
        <f aca="false">K138*I138</f>
        <v>0</v>
      </c>
    </row>
    <row r="139" customFormat="false" ht="12.8" hidden="false" customHeight="false" outlineLevel="0" collapsed="false">
      <c r="A139" s="0" t="n">
        <v>137</v>
      </c>
      <c r="B139" s="0" t="n">
        <f aca="false">calc_cohort!D$2+constant!$B$1*A139</f>
        <v>42.6166666666667</v>
      </c>
      <c r="C139" s="0" t="n">
        <f aca="false">_xlfn.FLOOR.MATH(B139)</f>
        <v>42</v>
      </c>
      <c r="D139" s="4" t="n">
        <f aca="false">INDEX(table_mortality_rate!$A$1:$C$2000,MATCH(C139,table_mortality_rate!$A$1:$A$2000,0),MATCH(calc_cohort!$E$2,table_mortality_rate!A$1:C$1,0))</f>
        <v>0.001104</v>
      </c>
      <c r="E139" s="0" t="n">
        <f aca="false">(1-D139)^constant!$B$1</f>
        <v>0.999907953415139</v>
      </c>
      <c r="F139" s="0" t="n">
        <f aca="false">IF(A139=0,1,F138*E139)</f>
        <v>0.991123521961847</v>
      </c>
      <c r="G139" s="5" t="b">
        <f aca="false">B139&gt;=calc_cohort!C$2</f>
        <v>0</v>
      </c>
      <c r="H139" s="0" t="n">
        <f aca="false">IF(G139,1,0)</f>
        <v>0</v>
      </c>
      <c r="I139" s="0" t="n">
        <f aca="false">calc_cohort!$B$2*constant!$B$1*F139*H139</f>
        <v>0</v>
      </c>
      <c r="J139" s="0" t="n">
        <f aca="false">INDEX(table_spot_rate!B$1:B$2000,MATCH(A139,table_spot_rate!A$1:A$2000,0))</f>
        <v>0.0539669090755852</v>
      </c>
      <c r="K139" s="0" t="n">
        <f aca="false">(1+J139)^(-A139*constant!$B$1)</f>
        <v>0.548772104487085</v>
      </c>
      <c r="L139" s="0" t="n">
        <f aca="false">K139*I139</f>
        <v>0</v>
      </c>
    </row>
    <row r="140" customFormat="false" ht="12.8" hidden="false" customHeight="false" outlineLevel="0" collapsed="false">
      <c r="A140" s="0" t="n">
        <v>138</v>
      </c>
      <c r="B140" s="0" t="n">
        <f aca="false">calc_cohort!D$2+constant!$B$1*A140</f>
        <v>42.7</v>
      </c>
      <c r="C140" s="0" t="n">
        <f aca="false">_xlfn.FLOOR.MATH(B140)</f>
        <v>42</v>
      </c>
      <c r="D140" s="4" t="n">
        <f aca="false">INDEX(table_mortality_rate!$A$1:$C$2000,MATCH(C140,table_mortality_rate!$A$1:$A$2000,0),MATCH(calc_cohort!$E$2,table_mortality_rate!A$1:C$1,0))</f>
        <v>0.001104</v>
      </c>
      <c r="E140" s="0" t="n">
        <f aca="false">(1-D140)^constant!$B$1</f>
        <v>0.999907953415139</v>
      </c>
      <c r="F140" s="0" t="n">
        <f aca="false">IF(A140=0,1,F139*E140)</f>
        <v>0.991032292426475</v>
      </c>
      <c r="G140" s="5" t="b">
        <f aca="false">B140&gt;=calc_cohort!C$2</f>
        <v>0</v>
      </c>
      <c r="H140" s="0" t="n">
        <f aca="false">IF(G140,1,0)</f>
        <v>0</v>
      </c>
      <c r="I140" s="0" t="n">
        <f aca="false">calc_cohort!$B$2*constant!$B$1*F140*H140</f>
        <v>0</v>
      </c>
      <c r="J140" s="0" t="n">
        <f aca="false">INDEX(table_spot_rate!B$1:B$2000,MATCH(A140,table_spot_rate!A$1:A$2000,0))</f>
        <v>0.0543872710190788</v>
      </c>
      <c r="K140" s="0" t="n">
        <f aca="false">(1+J140)^(-A140*constant!$B$1)</f>
        <v>0.543873909450011</v>
      </c>
      <c r="L140" s="0" t="n">
        <f aca="false">K140*I140</f>
        <v>0</v>
      </c>
    </row>
    <row r="141" customFormat="false" ht="12.8" hidden="false" customHeight="false" outlineLevel="0" collapsed="false">
      <c r="A141" s="0" t="n">
        <v>139</v>
      </c>
      <c r="B141" s="0" t="n">
        <f aca="false">calc_cohort!D$2+constant!$B$1*A141</f>
        <v>42.7833333333333</v>
      </c>
      <c r="C141" s="0" t="n">
        <f aca="false">_xlfn.FLOOR.MATH(B141)</f>
        <v>42</v>
      </c>
      <c r="D141" s="4" t="n">
        <f aca="false">INDEX(table_mortality_rate!$A$1:$C$2000,MATCH(C141,table_mortality_rate!$A$1:$A$2000,0),MATCH(calc_cohort!$E$2,table_mortality_rate!A$1:C$1,0))</f>
        <v>0.001104</v>
      </c>
      <c r="E141" s="0" t="n">
        <f aca="false">(1-D141)^constant!$B$1</f>
        <v>0.999907953415139</v>
      </c>
      <c r="F141" s="0" t="n">
        <f aca="false">IF(A141=0,1,F140*E141)</f>
        <v>0.99094107128847</v>
      </c>
      <c r="G141" s="5" t="b">
        <f aca="false">B141&gt;=calc_cohort!C$2</f>
        <v>0</v>
      </c>
      <c r="H141" s="0" t="n">
        <f aca="false">IF(G141,1,0)</f>
        <v>0</v>
      </c>
      <c r="I141" s="0" t="n">
        <f aca="false">calc_cohort!$B$2*constant!$B$1*F141*H141</f>
        <v>0</v>
      </c>
      <c r="J141" s="0" t="n">
        <f aca="false">INDEX(table_spot_rate!B$1:B$2000,MATCH(A141,table_spot_rate!A$1:A$2000,0))</f>
        <v>0.0577549052885657</v>
      </c>
      <c r="K141" s="0" t="n">
        <f aca="false">(1+J141)^(-A141*constant!$B$1)</f>
        <v>0.521842997743477</v>
      </c>
      <c r="L141" s="0" t="n">
        <f aca="false">K141*I141</f>
        <v>0</v>
      </c>
    </row>
    <row r="142" customFormat="false" ht="12.8" hidden="false" customHeight="false" outlineLevel="0" collapsed="false">
      <c r="A142" s="0" t="n">
        <v>140</v>
      </c>
      <c r="B142" s="0" t="n">
        <f aca="false">calc_cohort!D$2+constant!$B$1*A142</f>
        <v>42.8666666666667</v>
      </c>
      <c r="C142" s="0" t="n">
        <f aca="false">_xlfn.FLOOR.MATH(B142)</f>
        <v>42</v>
      </c>
      <c r="D142" s="4" t="n">
        <f aca="false">INDEX(table_mortality_rate!$A$1:$C$2000,MATCH(C142,table_mortality_rate!$A$1:$A$2000,0),MATCH(calc_cohort!$E$2,table_mortality_rate!A$1:C$1,0))</f>
        <v>0.001104</v>
      </c>
      <c r="E142" s="0" t="n">
        <f aca="false">(1-D142)^constant!$B$1</f>
        <v>0.999907953415139</v>
      </c>
      <c r="F142" s="0" t="n">
        <f aca="false">IF(A142=0,1,F141*E142)</f>
        <v>0.990849858547059</v>
      </c>
      <c r="G142" s="5" t="b">
        <f aca="false">B142&gt;=calc_cohort!C$2</f>
        <v>0</v>
      </c>
      <c r="H142" s="0" t="n">
        <f aca="false">IF(G142,1,0)</f>
        <v>0</v>
      </c>
      <c r="I142" s="0" t="n">
        <f aca="false">calc_cohort!$B$2*constant!$B$1*F142*H142</f>
        <v>0</v>
      </c>
      <c r="J142" s="0" t="n">
        <f aca="false">INDEX(table_spot_rate!B$1:B$2000,MATCH(A142,table_spot_rate!A$1:A$2000,0))</f>
        <v>0.0555247771671292</v>
      </c>
      <c r="K142" s="0" t="n">
        <f aca="false">(1+J142)^(-A142*constant!$B$1)</f>
        <v>0.532355350259303</v>
      </c>
      <c r="L142" s="0" t="n">
        <f aca="false">K142*I142</f>
        <v>0</v>
      </c>
    </row>
    <row r="143" customFormat="false" ht="12.8" hidden="false" customHeight="false" outlineLevel="0" collapsed="false">
      <c r="A143" s="0" t="n">
        <v>141</v>
      </c>
      <c r="B143" s="0" t="n">
        <f aca="false">calc_cohort!D$2+constant!$B$1*A143</f>
        <v>42.95</v>
      </c>
      <c r="C143" s="0" t="n">
        <f aca="false">_xlfn.FLOOR.MATH(B143)</f>
        <v>42</v>
      </c>
      <c r="D143" s="4" t="n">
        <f aca="false">INDEX(table_mortality_rate!$A$1:$C$2000,MATCH(C143,table_mortality_rate!$A$1:$A$2000,0),MATCH(calc_cohort!$E$2,table_mortality_rate!A$1:C$1,0))</f>
        <v>0.001104</v>
      </c>
      <c r="E143" s="0" t="n">
        <f aca="false">(1-D143)^constant!$B$1</f>
        <v>0.999907953415139</v>
      </c>
      <c r="F143" s="0" t="n">
        <f aca="false">IF(A143=0,1,F142*E143)</f>
        <v>0.99075865420147</v>
      </c>
      <c r="G143" s="5" t="b">
        <f aca="false">B143&gt;=calc_cohort!C$2</f>
        <v>0</v>
      </c>
      <c r="H143" s="0" t="n">
        <f aca="false">IF(G143,1,0)</f>
        <v>0</v>
      </c>
      <c r="I143" s="0" t="n">
        <f aca="false">calc_cohort!$B$2*constant!$B$1*F143*H143</f>
        <v>0</v>
      </c>
      <c r="J143" s="0" t="n">
        <f aca="false">INDEX(table_spot_rate!B$1:B$2000,MATCH(A143,table_spot_rate!A$1:A$2000,0))</f>
        <v>0.0510068203764772</v>
      </c>
      <c r="K143" s="0" t="n">
        <f aca="false">(1+J143)^(-A143*constant!$B$1)</f>
        <v>0.557358939959527</v>
      </c>
      <c r="L143" s="0" t="n">
        <f aca="false">K143*I143</f>
        <v>0</v>
      </c>
    </row>
    <row r="144" customFormat="false" ht="12.8" hidden="false" customHeight="false" outlineLevel="0" collapsed="false">
      <c r="A144" s="0" t="n">
        <v>142</v>
      </c>
      <c r="B144" s="0" t="n">
        <f aca="false">calc_cohort!D$2+constant!$B$1*A144</f>
        <v>43.0333333333333</v>
      </c>
      <c r="C144" s="0" t="n">
        <f aca="false">_xlfn.FLOOR.MATH(B144)</f>
        <v>43</v>
      </c>
      <c r="D144" s="4" t="n">
        <f aca="false">INDEX(table_mortality_rate!$A$1:$C$2000,MATCH(C144,table_mortality_rate!$A$1:$A$2000,0),MATCH(calc_cohort!$E$2,table_mortality_rate!A$1:C$1,0))</f>
        <v>0.001208</v>
      </c>
      <c r="E144" s="0" t="n">
        <f aca="false">(1-D144)^constant!$B$1</f>
        <v>0.999899277554502</v>
      </c>
      <c r="F144" s="0" t="n">
        <f aca="false">IF(A144=0,1,F143*E144)</f>
        <v>0.99065886256692</v>
      </c>
      <c r="G144" s="5" t="b">
        <f aca="false">B144&gt;=calc_cohort!C$2</f>
        <v>0</v>
      </c>
      <c r="H144" s="0" t="n">
        <f aca="false">IF(G144,1,0)</f>
        <v>0</v>
      </c>
      <c r="I144" s="0" t="n">
        <f aca="false">calc_cohort!$B$2*constant!$B$1*F144*H144</f>
        <v>0</v>
      </c>
      <c r="J144" s="0" t="n">
        <f aca="false">INDEX(table_spot_rate!B$1:B$2000,MATCH(A144,table_spot_rate!A$1:A$2000,0))</f>
        <v>0.055378962143433</v>
      </c>
      <c r="K144" s="0" t="n">
        <f aca="false">(1+J144)^(-A144*constant!$B$1)</f>
        <v>0.528445510594367</v>
      </c>
      <c r="L144" s="0" t="n">
        <f aca="false">K144*I144</f>
        <v>0</v>
      </c>
    </row>
    <row r="145" customFormat="false" ht="12.8" hidden="false" customHeight="false" outlineLevel="0" collapsed="false">
      <c r="A145" s="0" t="n">
        <v>143</v>
      </c>
      <c r="B145" s="0" t="n">
        <f aca="false">calc_cohort!D$2+constant!$B$1*A145</f>
        <v>43.1166666666667</v>
      </c>
      <c r="C145" s="0" t="n">
        <f aca="false">_xlfn.FLOOR.MATH(B145)</f>
        <v>43</v>
      </c>
      <c r="D145" s="4" t="n">
        <f aca="false">INDEX(table_mortality_rate!$A$1:$C$2000,MATCH(C145,table_mortality_rate!$A$1:$A$2000,0),MATCH(calc_cohort!$E$2,table_mortality_rate!A$1:C$1,0))</f>
        <v>0.001208</v>
      </c>
      <c r="E145" s="0" t="n">
        <f aca="false">(1-D145)^constant!$B$1</f>
        <v>0.999899277554502</v>
      </c>
      <c r="F145" s="0" t="n">
        <f aca="false">IF(A145=0,1,F144*E145)</f>
        <v>0.990559080983628</v>
      </c>
      <c r="G145" s="5" t="b">
        <f aca="false">B145&gt;=calc_cohort!C$2</f>
        <v>0</v>
      </c>
      <c r="H145" s="0" t="n">
        <f aca="false">IF(G145,1,0)</f>
        <v>0</v>
      </c>
      <c r="I145" s="0" t="n">
        <f aca="false">calc_cohort!$B$2*constant!$B$1*F145*H145</f>
        <v>0</v>
      </c>
      <c r="J145" s="0" t="n">
        <f aca="false">INDEX(table_spot_rate!B$1:B$2000,MATCH(A145,table_spot_rate!A$1:A$2000,0))</f>
        <v>0.0520557654361535</v>
      </c>
      <c r="K145" s="0" t="n">
        <f aca="false">(1+J145)^(-A145*constant!$B$1)</f>
        <v>0.546224825828668</v>
      </c>
      <c r="L145" s="0" t="n">
        <f aca="false">K145*I145</f>
        <v>0</v>
      </c>
    </row>
    <row r="146" customFormat="false" ht="12.8" hidden="false" customHeight="false" outlineLevel="0" collapsed="false">
      <c r="A146" s="0" t="n">
        <v>144</v>
      </c>
      <c r="B146" s="0" t="n">
        <f aca="false">calc_cohort!D$2+constant!$B$1*A146</f>
        <v>43.2</v>
      </c>
      <c r="C146" s="0" t="n">
        <f aca="false">_xlfn.FLOOR.MATH(B146)</f>
        <v>43</v>
      </c>
      <c r="D146" s="4" t="n">
        <f aca="false">INDEX(table_mortality_rate!$A$1:$C$2000,MATCH(C146,table_mortality_rate!$A$1:$A$2000,0),MATCH(calc_cohort!$E$2,table_mortality_rate!A$1:C$1,0))</f>
        <v>0.001208</v>
      </c>
      <c r="E146" s="0" t="n">
        <f aca="false">(1-D146)^constant!$B$1</f>
        <v>0.999899277554502</v>
      </c>
      <c r="F146" s="0" t="n">
        <f aca="false">IF(A146=0,1,F145*E146)</f>
        <v>0.990459309450582</v>
      </c>
      <c r="G146" s="5" t="b">
        <f aca="false">B146&gt;=calc_cohort!C$2</f>
        <v>0</v>
      </c>
      <c r="H146" s="0" t="n">
        <f aca="false">IF(G146,1,0)</f>
        <v>0</v>
      </c>
      <c r="I146" s="0" t="n">
        <f aca="false">calc_cohort!$B$2*constant!$B$1*F146*H146</f>
        <v>0</v>
      </c>
      <c r="J146" s="0" t="n">
        <f aca="false">INDEX(table_spot_rate!B$1:B$2000,MATCH(A146,table_spot_rate!A$1:A$2000,0))</f>
        <v>0.0563156038075646</v>
      </c>
      <c r="K146" s="0" t="n">
        <f aca="false">(1+J146)^(-A146*constant!$B$1)</f>
        <v>0.518174047309816</v>
      </c>
      <c r="L146" s="0" t="n">
        <f aca="false">K146*I146</f>
        <v>0</v>
      </c>
    </row>
    <row r="147" customFormat="false" ht="12.8" hidden="false" customHeight="false" outlineLevel="0" collapsed="false">
      <c r="A147" s="0" t="n">
        <v>145</v>
      </c>
      <c r="B147" s="0" t="n">
        <f aca="false">calc_cohort!D$2+constant!$B$1*A147</f>
        <v>43.2833333333333</v>
      </c>
      <c r="C147" s="0" t="n">
        <f aca="false">_xlfn.FLOOR.MATH(B147)</f>
        <v>43</v>
      </c>
      <c r="D147" s="4" t="n">
        <f aca="false">INDEX(table_mortality_rate!$A$1:$C$2000,MATCH(C147,table_mortality_rate!$A$1:$A$2000,0),MATCH(calc_cohort!$E$2,table_mortality_rate!A$1:C$1,0))</f>
        <v>0.001208</v>
      </c>
      <c r="E147" s="0" t="n">
        <f aca="false">(1-D147)^constant!$B$1</f>
        <v>0.999899277554502</v>
      </c>
      <c r="F147" s="0" t="n">
        <f aca="false">IF(A147=0,1,F146*E147)</f>
        <v>0.990359547966767</v>
      </c>
      <c r="G147" s="5" t="b">
        <f aca="false">B147&gt;=calc_cohort!C$2</f>
        <v>0</v>
      </c>
      <c r="H147" s="0" t="n">
        <f aca="false">IF(G147,1,0)</f>
        <v>0</v>
      </c>
      <c r="I147" s="0" t="n">
        <f aca="false">calc_cohort!$B$2*constant!$B$1*F147*H147</f>
        <v>0</v>
      </c>
      <c r="J147" s="0" t="n">
        <f aca="false">INDEX(table_spot_rate!B$1:B$2000,MATCH(A147,table_spot_rate!A$1:A$2000,0))</f>
        <v>0.0547157406852188</v>
      </c>
      <c r="K147" s="0" t="n">
        <f aca="false">(1+J147)^(-A147*constant!$B$1)</f>
        <v>0.525347799562043</v>
      </c>
      <c r="L147" s="0" t="n">
        <f aca="false">K147*I147</f>
        <v>0</v>
      </c>
    </row>
    <row r="148" customFormat="false" ht="12.8" hidden="false" customHeight="false" outlineLevel="0" collapsed="false">
      <c r="A148" s="0" t="n">
        <v>146</v>
      </c>
      <c r="B148" s="0" t="n">
        <f aca="false">calc_cohort!D$2+constant!$B$1*A148</f>
        <v>43.3666666666667</v>
      </c>
      <c r="C148" s="0" t="n">
        <f aca="false">_xlfn.FLOOR.MATH(B148)</f>
        <v>43</v>
      </c>
      <c r="D148" s="4" t="n">
        <f aca="false">INDEX(table_mortality_rate!$A$1:$C$2000,MATCH(C148,table_mortality_rate!$A$1:$A$2000,0),MATCH(calc_cohort!$E$2,table_mortality_rate!A$1:C$1,0))</f>
        <v>0.001208</v>
      </c>
      <c r="E148" s="0" t="n">
        <f aca="false">(1-D148)^constant!$B$1</f>
        <v>0.999899277554502</v>
      </c>
      <c r="F148" s="0" t="n">
        <f aca="false">IF(A148=0,1,F147*E148)</f>
        <v>0.990259796531174</v>
      </c>
      <c r="G148" s="5" t="b">
        <f aca="false">B148&gt;=calc_cohort!C$2</f>
        <v>0</v>
      </c>
      <c r="H148" s="0" t="n">
        <f aca="false">IF(G148,1,0)</f>
        <v>0</v>
      </c>
      <c r="I148" s="0" t="n">
        <f aca="false">calc_cohort!$B$2*constant!$B$1*F148*H148</f>
        <v>0</v>
      </c>
      <c r="J148" s="0" t="n">
        <f aca="false">INDEX(table_spot_rate!B$1:B$2000,MATCH(A148,table_spot_rate!A$1:A$2000,0))</f>
        <v>0.0519880401662392</v>
      </c>
      <c r="K148" s="0" t="n">
        <f aca="false">(1+J148)^(-A148*constant!$B$1)</f>
        <v>0.539761499462675</v>
      </c>
      <c r="L148" s="0" t="n">
        <f aca="false">K148*I148</f>
        <v>0</v>
      </c>
    </row>
    <row r="149" customFormat="false" ht="12.8" hidden="false" customHeight="false" outlineLevel="0" collapsed="false">
      <c r="A149" s="0" t="n">
        <v>147</v>
      </c>
      <c r="B149" s="0" t="n">
        <f aca="false">calc_cohort!D$2+constant!$B$1*A149</f>
        <v>43.45</v>
      </c>
      <c r="C149" s="0" t="n">
        <f aca="false">_xlfn.FLOOR.MATH(B149)</f>
        <v>43</v>
      </c>
      <c r="D149" s="4" t="n">
        <f aca="false">INDEX(table_mortality_rate!$A$1:$C$2000,MATCH(C149,table_mortality_rate!$A$1:$A$2000,0),MATCH(calc_cohort!$E$2,table_mortality_rate!A$1:C$1,0))</f>
        <v>0.001208</v>
      </c>
      <c r="E149" s="0" t="n">
        <f aca="false">(1-D149)^constant!$B$1</f>
        <v>0.999899277554502</v>
      </c>
      <c r="F149" s="0" t="n">
        <f aca="false">IF(A149=0,1,F148*E149)</f>
        <v>0.990160055142789</v>
      </c>
      <c r="G149" s="5" t="b">
        <f aca="false">B149&gt;=calc_cohort!C$2</f>
        <v>0</v>
      </c>
      <c r="H149" s="0" t="n">
        <f aca="false">IF(G149,1,0)</f>
        <v>0</v>
      </c>
      <c r="I149" s="0" t="n">
        <f aca="false">calc_cohort!$B$2*constant!$B$1*F149*H149</f>
        <v>0</v>
      </c>
      <c r="J149" s="0" t="n">
        <f aca="false">INDEX(table_spot_rate!B$1:B$2000,MATCH(A149,table_spot_rate!A$1:A$2000,0))</f>
        <v>0.053460933137032</v>
      </c>
      <c r="K149" s="0" t="n">
        <f aca="false">(1+J149)^(-A149*constant!$B$1)</f>
        <v>0.528352996099444</v>
      </c>
      <c r="L149" s="0" t="n">
        <f aca="false">K149*I149</f>
        <v>0</v>
      </c>
    </row>
    <row r="150" customFormat="false" ht="12.8" hidden="false" customHeight="false" outlineLevel="0" collapsed="false">
      <c r="A150" s="0" t="n">
        <v>148</v>
      </c>
      <c r="B150" s="0" t="n">
        <f aca="false">calc_cohort!D$2+constant!$B$1*A150</f>
        <v>43.5333333333333</v>
      </c>
      <c r="C150" s="0" t="n">
        <f aca="false">_xlfn.FLOOR.MATH(B150)</f>
        <v>43</v>
      </c>
      <c r="D150" s="4" t="n">
        <f aca="false">INDEX(table_mortality_rate!$A$1:$C$2000,MATCH(C150,table_mortality_rate!$A$1:$A$2000,0),MATCH(calc_cohort!$E$2,table_mortality_rate!A$1:C$1,0))</f>
        <v>0.001208</v>
      </c>
      <c r="E150" s="0" t="n">
        <f aca="false">(1-D150)^constant!$B$1</f>
        <v>0.999899277554502</v>
      </c>
      <c r="F150" s="0" t="n">
        <f aca="false">IF(A150=0,1,F149*E150)</f>
        <v>0.990060323800601</v>
      </c>
      <c r="G150" s="5" t="b">
        <f aca="false">B150&gt;=calc_cohort!C$2</f>
        <v>0</v>
      </c>
      <c r="H150" s="0" t="n">
        <f aca="false">IF(G150,1,0)</f>
        <v>0</v>
      </c>
      <c r="I150" s="0" t="n">
        <f aca="false">calc_cohort!$B$2*constant!$B$1*F150*H150</f>
        <v>0</v>
      </c>
      <c r="J150" s="0" t="n">
        <f aca="false">INDEX(table_spot_rate!B$1:B$2000,MATCH(A150,table_spot_rate!A$1:A$2000,0))</f>
        <v>0.0552936676777387</v>
      </c>
      <c r="K150" s="0" t="n">
        <f aca="false">(1+J150)^(-A150*constant!$B$1)</f>
        <v>0.514907127476328</v>
      </c>
      <c r="L150" s="0" t="n">
        <f aca="false">K150*I150</f>
        <v>0</v>
      </c>
    </row>
    <row r="151" customFormat="false" ht="12.8" hidden="false" customHeight="false" outlineLevel="0" collapsed="false">
      <c r="A151" s="0" t="n">
        <v>149</v>
      </c>
      <c r="B151" s="0" t="n">
        <f aca="false">calc_cohort!D$2+constant!$B$1*A151</f>
        <v>43.6166666666667</v>
      </c>
      <c r="C151" s="0" t="n">
        <f aca="false">_xlfn.FLOOR.MATH(B151)</f>
        <v>43</v>
      </c>
      <c r="D151" s="4" t="n">
        <f aca="false">INDEX(table_mortality_rate!$A$1:$C$2000,MATCH(C151,table_mortality_rate!$A$1:$A$2000,0),MATCH(calc_cohort!$E$2,table_mortality_rate!A$1:C$1,0))</f>
        <v>0.001208</v>
      </c>
      <c r="E151" s="0" t="n">
        <f aca="false">(1-D151)^constant!$B$1</f>
        <v>0.999899277554502</v>
      </c>
      <c r="F151" s="0" t="n">
        <f aca="false">IF(A151=0,1,F150*E151)</f>
        <v>0.989960602503597</v>
      </c>
      <c r="G151" s="5" t="b">
        <f aca="false">B151&gt;=calc_cohort!C$2</f>
        <v>0</v>
      </c>
      <c r="H151" s="0" t="n">
        <f aca="false">IF(G151,1,0)</f>
        <v>0</v>
      </c>
      <c r="I151" s="0" t="n">
        <f aca="false">calc_cohort!$B$2*constant!$B$1*F151*H151</f>
        <v>0</v>
      </c>
      <c r="J151" s="0" t="n">
        <f aca="false">INDEX(table_spot_rate!B$1:B$2000,MATCH(A151,table_spot_rate!A$1:A$2000,0))</f>
        <v>0.0533832658693665</v>
      </c>
      <c r="K151" s="0" t="n">
        <f aca="false">(1+J151)^(-A151*constant!$B$1)</f>
        <v>0.52426638898773</v>
      </c>
      <c r="L151" s="0" t="n">
        <f aca="false">K151*I151</f>
        <v>0</v>
      </c>
    </row>
    <row r="152" customFormat="false" ht="12.8" hidden="false" customHeight="false" outlineLevel="0" collapsed="false">
      <c r="A152" s="0" t="n">
        <v>150</v>
      </c>
      <c r="B152" s="0" t="n">
        <f aca="false">calc_cohort!D$2+constant!$B$1*A152</f>
        <v>43.7</v>
      </c>
      <c r="C152" s="0" t="n">
        <f aca="false">_xlfn.FLOOR.MATH(B152)</f>
        <v>43</v>
      </c>
      <c r="D152" s="4" t="n">
        <f aca="false">INDEX(table_mortality_rate!$A$1:$C$2000,MATCH(C152,table_mortality_rate!$A$1:$A$2000,0),MATCH(calc_cohort!$E$2,table_mortality_rate!A$1:C$1,0))</f>
        <v>0.001208</v>
      </c>
      <c r="E152" s="0" t="n">
        <f aca="false">(1-D152)^constant!$B$1</f>
        <v>0.999899277554502</v>
      </c>
      <c r="F152" s="0" t="n">
        <f aca="false">IF(A152=0,1,F151*E152)</f>
        <v>0.989860891250766</v>
      </c>
      <c r="G152" s="5" t="b">
        <f aca="false">B152&gt;=calc_cohort!C$2</f>
        <v>0</v>
      </c>
      <c r="H152" s="0" t="n">
        <f aca="false">IF(G152,1,0)</f>
        <v>0</v>
      </c>
      <c r="I152" s="0" t="n">
        <f aca="false">calc_cohort!$B$2*constant!$B$1*F152*H152</f>
        <v>0</v>
      </c>
      <c r="J152" s="0" t="n">
        <f aca="false">INDEX(table_spot_rate!B$1:B$2000,MATCH(A152,table_spot_rate!A$1:A$2000,0))</f>
        <v>0.0580526206151685</v>
      </c>
      <c r="K152" s="0" t="n">
        <f aca="false">(1+J152)^(-A152*constant!$B$1)</f>
        <v>0.493922897638242</v>
      </c>
      <c r="L152" s="0" t="n">
        <f aca="false">K152*I152</f>
        <v>0</v>
      </c>
    </row>
    <row r="153" customFormat="false" ht="12.8" hidden="false" customHeight="false" outlineLevel="0" collapsed="false">
      <c r="A153" s="0" t="n">
        <v>151</v>
      </c>
      <c r="B153" s="0" t="n">
        <f aca="false">calc_cohort!D$2+constant!$B$1*A153</f>
        <v>43.7833333333333</v>
      </c>
      <c r="C153" s="0" t="n">
        <f aca="false">_xlfn.FLOOR.MATH(B153)</f>
        <v>43</v>
      </c>
      <c r="D153" s="4" t="n">
        <f aca="false">INDEX(table_mortality_rate!$A$1:$C$2000,MATCH(C153,table_mortality_rate!$A$1:$A$2000,0),MATCH(calc_cohort!$E$2,table_mortality_rate!A$1:C$1,0))</f>
        <v>0.001208</v>
      </c>
      <c r="E153" s="0" t="n">
        <f aca="false">(1-D153)^constant!$B$1</f>
        <v>0.999899277554502</v>
      </c>
      <c r="F153" s="0" t="n">
        <f aca="false">IF(A153=0,1,F152*E153)</f>
        <v>0.989761190041096</v>
      </c>
      <c r="G153" s="5" t="b">
        <f aca="false">B153&gt;=calc_cohort!C$2</f>
        <v>0</v>
      </c>
      <c r="H153" s="0" t="n">
        <f aca="false">IF(G153,1,0)</f>
        <v>0</v>
      </c>
      <c r="I153" s="0" t="n">
        <f aca="false">calc_cohort!$B$2*constant!$B$1*F153*H153</f>
        <v>0</v>
      </c>
      <c r="J153" s="0" t="n">
        <f aca="false">INDEX(table_spot_rate!B$1:B$2000,MATCH(A153,table_spot_rate!A$1:A$2000,0))</f>
        <v>0.0576398190759952</v>
      </c>
      <c r="K153" s="0" t="n">
        <f aca="false">(1+J153)^(-A153*constant!$B$1)</f>
        <v>0.494025578701724</v>
      </c>
      <c r="L153" s="0" t="n">
        <f aca="false">K153*I153</f>
        <v>0</v>
      </c>
    </row>
    <row r="154" customFormat="false" ht="12.8" hidden="false" customHeight="false" outlineLevel="0" collapsed="false">
      <c r="A154" s="0" t="n">
        <v>152</v>
      </c>
      <c r="B154" s="0" t="n">
        <f aca="false">calc_cohort!D$2+constant!$B$1*A154</f>
        <v>43.8666666666667</v>
      </c>
      <c r="C154" s="0" t="n">
        <f aca="false">_xlfn.FLOOR.MATH(B154)</f>
        <v>43</v>
      </c>
      <c r="D154" s="4" t="n">
        <f aca="false">INDEX(table_mortality_rate!$A$1:$C$2000,MATCH(C154,table_mortality_rate!$A$1:$A$2000,0),MATCH(calc_cohort!$E$2,table_mortality_rate!A$1:C$1,0))</f>
        <v>0.001208</v>
      </c>
      <c r="E154" s="0" t="n">
        <f aca="false">(1-D154)^constant!$B$1</f>
        <v>0.999899277554502</v>
      </c>
      <c r="F154" s="0" t="n">
        <f aca="false">IF(A154=0,1,F153*E154)</f>
        <v>0.989661498873576</v>
      </c>
      <c r="G154" s="5" t="b">
        <f aca="false">B154&gt;=calc_cohort!C$2</f>
        <v>0</v>
      </c>
      <c r="H154" s="0" t="n">
        <f aca="false">IF(G154,1,0)</f>
        <v>0</v>
      </c>
      <c r="I154" s="0" t="n">
        <f aca="false">calc_cohort!$B$2*constant!$B$1*F154*H154</f>
        <v>0</v>
      </c>
      <c r="J154" s="0" t="n">
        <f aca="false">INDEX(table_spot_rate!B$1:B$2000,MATCH(A154,table_spot_rate!A$1:A$2000,0))</f>
        <v>0.0582661937312871</v>
      </c>
      <c r="K154" s="0" t="n">
        <f aca="false">(1+J154)^(-A154*constant!$B$1)</f>
        <v>0.488049992942451</v>
      </c>
      <c r="L154" s="0" t="n">
        <f aca="false">K154*I154</f>
        <v>0</v>
      </c>
    </row>
    <row r="155" customFormat="false" ht="12.8" hidden="false" customHeight="false" outlineLevel="0" collapsed="false">
      <c r="A155" s="0" t="n">
        <v>153</v>
      </c>
      <c r="B155" s="0" t="n">
        <f aca="false">calc_cohort!D$2+constant!$B$1*A155</f>
        <v>43.95</v>
      </c>
      <c r="C155" s="0" t="n">
        <f aca="false">_xlfn.FLOOR.MATH(B155)</f>
        <v>43</v>
      </c>
      <c r="D155" s="4" t="n">
        <f aca="false">INDEX(table_mortality_rate!$A$1:$C$2000,MATCH(C155,table_mortality_rate!$A$1:$A$2000,0),MATCH(calc_cohort!$E$2,table_mortality_rate!A$1:C$1,0))</f>
        <v>0.001208</v>
      </c>
      <c r="E155" s="0" t="n">
        <f aca="false">(1-D155)^constant!$B$1</f>
        <v>0.999899277554502</v>
      </c>
      <c r="F155" s="0" t="n">
        <f aca="false">IF(A155=0,1,F154*E155)</f>
        <v>0.989561817747195</v>
      </c>
      <c r="G155" s="5" t="b">
        <f aca="false">B155&gt;=calc_cohort!C$2</f>
        <v>0</v>
      </c>
      <c r="H155" s="0" t="n">
        <f aca="false">IF(G155,1,0)</f>
        <v>0</v>
      </c>
      <c r="I155" s="0" t="n">
        <f aca="false">calc_cohort!$B$2*constant!$B$1*F155*H155</f>
        <v>0</v>
      </c>
      <c r="J155" s="0" t="n">
        <f aca="false">INDEX(table_spot_rate!B$1:B$2000,MATCH(A155,table_spot_rate!A$1:A$2000,0))</f>
        <v>0.0555489459257918</v>
      </c>
      <c r="K155" s="0" t="n">
        <f aca="false">(1+J155)^(-A155*constant!$B$1)</f>
        <v>0.501938722448909</v>
      </c>
      <c r="L155" s="0" t="n">
        <f aca="false">K155*I155</f>
        <v>0</v>
      </c>
    </row>
    <row r="156" customFormat="false" ht="12.8" hidden="false" customHeight="false" outlineLevel="0" collapsed="false">
      <c r="A156" s="0" t="n">
        <v>154</v>
      </c>
      <c r="B156" s="0" t="n">
        <f aca="false">calc_cohort!D$2+constant!$B$1*A156</f>
        <v>44.0333333333333</v>
      </c>
      <c r="C156" s="0" t="n">
        <f aca="false">_xlfn.FLOOR.MATH(B156)</f>
        <v>44</v>
      </c>
      <c r="D156" s="4" t="n">
        <f aca="false">INDEX(table_mortality_rate!$A$1:$C$2000,MATCH(C156,table_mortality_rate!$A$1:$A$2000,0),MATCH(calc_cohort!$E$2,table_mortality_rate!A$1:C$1,0))</f>
        <v>0.001327</v>
      </c>
      <c r="E156" s="0" t="n">
        <f aca="false">(1-D156)^constant!$B$1</f>
        <v>0.999889349351885</v>
      </c>
      <c r="F156" s="0" t="n">
        <f aca="false">IF(A156=0,1,F155*E156)</f>
        <v>0.989452322090711</v>
      </c>
      <c r="G156" s="5" t="b">
        <f aca="false">B156&gt;=calc_cohort!C$2</f>
        <v>0</v>
      </c>
      <c r="H156" s="0" t="n">
        <f aca="false">IF(G156,1,0)</f>
        <v>0</v>
      </c>
      <c r="I156" s="0" t="n">
        <f aca="false">calc_cohort!$B$2*constant!$B$1*F156*H156</f>
        <v>0</v>
      </c>
      <c r="J156" s="0" t="n">
        <f aca="false">INDEX(table_spot_rate!B$1:B$2000,MATCH(A156,table_spot_rate!A$1:A$2000,0))</f>
        <v>0.0529870908758467</v>
      </c>
      <c r="K156" s="0" t="n">
        <f aca="false">(1+J156)^(-A156*constant!$B$1)</f>
        <v>0.515510557400937</v>
      </c>
      <c r="L156" s="0" t="n">
        <f aca="false">K156*I156</f>
        <v>0</v>
      </c>
    </row>
    <row r="157" customFormat="false" ht="12.8" hidden="false" customHeight="false" outlineLevel="0" collapsed="false">
      <c r="A157" s="0" t="n">
        <v>155</v>
      </c>
      <c r="B157" s="0" t="n">
        <f aca="false">calc_cohort!D$2+constant!$B$1*A157</f>
        <v>44.1166666666667</v>
      </c>
      <c r="C157" s="0" t="n">
        <f aca="false">_xlfn.FLOOR.MATH(B157)</f>
        <v>44</v>
      </c>
      <c r="D157" s="4" t="n">
        <f aca="false">INDEX(table_mortality_rate!$A$1:$C$2000,MATCH(C157,table_mortality_rate!$A$1:$A$2000,0),MATCH(calc_cohort!$E$2,table_mortality_rate!A$1:C$1,0))</f>
        <v>0.001327</v>
      </c>
      <c r="E157" s="0" t="n">
        <f aca="false">(1-D157)^constant!$B$1</f>
        <v>0.999889349351885</v>
      </c>
      <c r="F157" s="0" t="n">
        <f aca="false">IF(A157=0,1,F156*E157)</f>
        <v>0.989342838549993</v>
      </c>
      <c r="G157" s="5" t="b">
        <f aca="false">B157&gt;=calc_cohort!C$2</f>
        <v>0</v>
      </c>
      <c r="H157" s="0" t="n">
        <f aca="false">IF(G157,1,0)</f>
        <v>0</v>
      </c>
      <c r="I157" s="0" t="n">
        <f aca="false">calc_cohort!$B$2*constant!$B$1*F157*H157</f>
        <v>0</v>
      </c>
      <c r="J157" s="0" t="n">
        <f aca="false">INDEX(table_spot_rate!B$1:B$2000,MATCH(A157,table_spot_rate!A$1:A$2000,0))</f>
        <v>0.0549267319891641</v>
      </c>
      <c r="K157" s="0" t="n">
        <f aca="false">(1+J157)^(-A157*constant!$B$1)</f>
        <v>0.501239540641507</v>
      </c>
      <c r="L157" s="0" t="n">
        <f aca="false">K157*I157</f>
        <v>0</v>
      </c>
    </row>
    <row r="158" customFormat="false" ht="12.8" hidden="false" customHeight="false" outlineLevel="0" collapsed="false">
      <c r="A158" s="0" t="n">
        <v>156</v>
      </c>
      <c r="B158" s="0" t="n">
        <f aca="false">calc_cohort!D$2+constant!$B$1*A158</f>
        <v>44.2</v>
      </c>
      <c r="C158" s="0" t="n">
        <f aca="false">_xlfn.FLOOR.MATH(B158)</f>
        <v>44</v>
      </c>
      <c r="D158" s="4" t="n">
        <f aca="false">INDEX(table_mortality_rate!$A$1:$C$2000,MATCH(C158,table_mortality_rate!$A$1:$A$2000,0),MATCH(calc_cohort!$E$2,table_mortality_rate!A$1:C$1,0))</f>
        <v>0.001327</v>
      </c>
      <c r="E158" s="0" t="n">
        <f aca="false">(1-D158)^constant!$B$1</f>
        <v>0.999889349351885</v>
      </c>
      <c r="F158" s="0" t="n">
        <f aca="false">IF(A158=0,1,F157*E158)</f>
        <v>0.9892333671237</v>
      </c>
      <c r="G158" s="5" t="b">
        <f aca="false">B158&gt;=calc_cohort!C$2</f>
        <v>0</v>
      </c>
      <c r="H158" s="0" t="n">
        <f aca="false">IF(G158,1,0)</f>
        <v>0</v>
      </c>
      <c r="I158" s="0" t="n">
        <f aca="false">calc_cohort!$B$2*constant!$B$1*F158*H158</f>
        <v>0</v>
      </c>
      <c r="J158" s="0" t="n">
        <f aca="false">INDEX(table_spot_rate!B$1:B$2000,MATCH(A158,table_spot_rate!A$1:A$2000,0))</f>
        <v>0.0530810092707812</v>
      </c>
      <c r="K158" s="0" t="n">
        <f aca="false">(1+J158)^(-A158*constant!$B$1)</f>
        <v>0.510501293821926</v>
      </c>
      <c r="L158" s="0" t="n">
        <f aca="false">K158*I158</f>
        <v>0</v>
      </c>
    </row>
    <row r="159" customFormat="false" ht="12.8" hidden="false" customHeight="false" outlineLevel="0" collapsed="false">
      <c r="A159" s="0" t="n">
        <v>157</v>
      </c>
      <c r="B159" s="0" t="n">
        <f aca="false">calc_cohort!D$2+constant!$B$1*A159</f>
        <v>44.2833333333333</v>
      </c>
      <c r="C159" s="0" t="n">
        <f aca="false">_xlfn.FLOOR.MATH(B159)</f>
        <v>44</v>
      </c>
      <c r="D159" s="4" t="n">
        <f aca="false">INDEX(table_mortality_rate!$A$1:$C$2000,MATCH(C159,table_mortality_rate!$A$1:$A$2000,0),MATCH(calc_cohort!$E$2,table_mortality_rate!A$1:C$1,0))</f>
        <v>0.001327</v>
      </c>
      <c r="E159" s="0" t="n">
        <f aca="false">(1-D159)^constant!$B$1</f>
        <v>0.999889349351885</v>
      </c>
      <c r="F159" s="0" t="n">
        <f aca="false">IF(A159=0,1,F158*E159)</f>
        <v>0.989123907810491</v>
      </c>
      <c r="G159" s="5" t="b">
        <f aca="false">B159&gt;=calc_cohort!C$2</f>
        <v>0</v>
      </c>
      <c r="H159" s="0" t="n">
        <f aca="false">IF(G159,1,0)</f>
        <v>0</v>
      </c>
      <c r="I159" s="0" t="n">
        <f aca="false">calc_cohort!$B$2*constant!$B$1*F159*H159</f>
        <v>0</v>
      </c>
      <c r="J159" s="0" t="n">
        <f aca="false">INDEX(table_spot_rate!B$1:B$2000,MATCH(A159,table_spot_rate!A$1:A$2000,0))</f>
        <v>0.0571737661959044</v>
      </c>
      <c r="K159" s="0" t="n">
        <f aca="false">(1+J159)^(-A159*constant!$B$1)</f>
        <v>0.483153237042394</v>
      </c>
      <c r="L159" s="0" t="n">
        <f aca="false">K159*I159</f>
        <v>0</v>
      </c>
    </row>
    <row r="160" customFormat="false" ht="12.8" hidden="false" customHeight="false" outlineLevel="0" collapsed="false">
      <c r="A160" s="0" t="n">
        <v>158</v>
      </c>
      <c r="B160" s="0" t="n">
        <f aca="false">calc_cohort!D$2+constant!$B$1*A160</f>
        <v>44.3666666666667</v>
      </c>
      <c r="C160" s="0" t="n">
        <f aca="false">_xlfn.FLOOR.MATH(B160)</f>
        <v>44</v>
      </c>
      <c r="D160" s="4" t="n">
        <f aca="false">INDEX(table_mortality_rate!$A$1:$C$2000,MATCH(C160,table_mortality_rate!$A$1:$A$2000,0),MATCH(calc_cohort!$E$2,table_mortality_rate!A$1:C$1,0))</f>
        <v>0.001327</v>
      </c>
      <c r="E160" s="0" t="n">
        <f aca="false">(1-D160)^constant!$B$1</f>
        <v>0.999889349351885</v>
      </c>
      <c r="F160" s="0" t="n">
        <f aca="false">IF(A160=0,1,F159*E160)</f>
        <v>0.989014460609025</v>
      </c>
      <c r="G160" s="5" t="b">
        <f aca="false">B160&gt;=calc_cohort!C$2</f>
        <v>0</v>
      </c>
      <c r="H160" s="0" t="n">
        <f aca="false">IF(G160,1,0)</f>
        <v>0</v>
      </c>
      <c r="I160" s="0" t="n">
        <f aca="false">calc_cohort!$B$2*constant!$B$1*F160*H160</f>
        <v>0</v>
      </c>
      <c r="J160" s="0" t="n">
        <f aca="false">INDEX(table_spot_rate!B$1:B$2000,MATCH(A160,table_spot_rate!A$1:A$2000,0))</f>
        <v>0.0564504963948693</v>
      </c>
      <c r="K160" s="0" t="n">
        <f aca="false">(1+J160)^(-A160*constant!$B$1)</f>
        <v>0.485273048507855</v>
      </c>
      <c r="L160" s="0" t="n">
        <f aca="false">K160*I160</f>
        <v>0</v>
      </c>
    </row>
    <row r="161" customFormat="false" ht="12.8" hidden="false" customHeight="false" outlineLevel="0" collapsed="false">
      <c r="A161" s="0" t="n">
        <v>159</v>
      </c>
      <c r="B161" s="0" t="n">
        <f aca="false">calc_cohort!D$2+constant!$B$1*A161</f>
        <v>44.45</v>
      </c>
      <c r="C161" s="0" t="n">
        <f aca="false">_xlfn.FLOOR.MATH(B161)</f>
        <v>44</v>
      </c>
      <c r="D161" s="4" t="n">
        <f aca="false">INDEX(table_mortality_rate!$A$1:$C$2000,MATCH(C161,table_mortality_rate!$A$1:$A$2000,0),MATCH(calc_cohort!$E$2,table_mortality_rate!A$1:C$1,0))</f>
        <v>0.001327</v>
      </c>
      <c r="E161" s="0" t="n">
        <f aca="false">(1-D161)^constant!$B$1</f>
        <v>0.999889349351885</v>
      </c>
      <c r="F161" s="0" t="n">
        <f aca="false">IF(A161=0,1,F160*E161)</f>
        <v>0.988905025517964</v>
      </c>
      <c r="G161" s="5" t="b">
        <f aca="false">B161&gt;=calc_cohort!C$2</f>
        <v>0</v>
      </c>
      <c r="H161" s="0" t="n">
        <f aca="false">IF(G161,1,0)</f>
        <v>0</v>
      </c>
      <c r="I161" s="0" t="n">
        <f aca="false">calc_cohort!$B$2*constant!$B$1*F161*H161</f>
        <v>0</v>
      </c>
      <c r="J161" s="0" t="n">
        <f aca="false">INDEX(table_spot_rate!B$1:B$2000,MATCH(A161,table_spot_rate!A$1:A$2000,0))</f>
        <v>0.057691012455137</v>
      </c>
      <c r="K161" s="0" t="n">
        <f aca="false">(1+J161)^(-A161*constant!$B$1)</f>
        <v>0.475604236111209</v>
      </c>
      <c r="L161" s="0" t="n">
        <f aca="false">K161*I161</f>
        <v>0</v>
      </c>
    </row>
    <row r="162" customFormat="false" ht="12.8" hidden="false" customHeight="false" outlineLevel="0" collapsed="false">
      <c r="A162" s="0" t="n">
        <v>160</v>
      </c>
      <c r="B162" s="0" t="n">
        <f aca="false">calc_cohort!D$2+constant!$B$1*A162</f>
        <v>44.5333333333333</v>
      </c>
      <c r="C162" s="0" t="n">
        <f aca="false">_xlfn.FLOOR.MATH(B162)</f>
        <v>44</v>
      </c>
      <c r="D162" s="4" t="n">
        <f aca="false">INDEX(table_mortality_rate!$A$1:$C$2000,MATCH(C162,table_mortality_rate!$A$1:$A$2000,0),MATCH(calc_cohort!$E$2,table_mortality_rate!A$1:C$1,0))</f>
        <v>0.001327</v>
      </c>
      <c r="E162" s="0" t="n">
        <f aca="false">(1-D162)^constant!$B$1</f>
        <v>0.999889349351885</v>
      </c>
      <c r="F162" s="0" t="n">
        <f aca="false">IF(A162=0,1,F161*E162)</f>
        <v>0.988795602535966</v>
      </c>
      <c r="G162" s="5" t="b">
        <f aca="false">B162&gt;=calc_cohort!C$2</f>
        <v>0</v>
      </c>
      <c r="H162" s="0" t="n">
        <f aca="false">IF(G162,1,0)</f>
        <v>0</v>
      </c>
      <c r="I162" s="0" t="n">
        <f aca="false">calc_cohort!$B$2*constant!$B$1*F162*H162</f>
        <v>0</v>
      </c>
      <c r="J162" s="0" t="n">
        <f aca="false">INDEX(table_spot_rate!B$1:B$2000,MATCH(A162,table_spot_rate!A$1:A$2000,0))</f>
        <v>0.0507311400795191</v>
      </c>
      <c r="K162" s="0" t="n">
        <f aca="false">(1+J162)^(-A162*constant!$B$1)</f>
        <v>0.516946128662196</v>
      </c>
      <c r="L162" s="0" t="n">
        <f aca="false">K162*I162</f>
        <v>0</v>
      </c>
    </row>
    <row r="163" customFormat="false" ht="12.8" hidden="false" customHeight="false" outlineLevel="0" collapsed="false">
      <c r="A163" s="0" t="n">
        <v>161</v>
      </c>
      <c r="B163" s="0" t="n">
        <f aca="false">calc_cohort!D$2+constant!$B$1*A163</f>
        <v>44.6166666666667</v>
      </c>
      <c r="C163" s="0" t="n">
        <f aca="false">_xlfn.FLOOR.MATH(B163)</f>
        <v>44</v>
      </c>
      <c r="D163" s="4" t="n">
        <f aca="false">INDEX(table_mortality_rate!$A$1:$C$2000,MATCH(C163,table_mortality_rate!$A$1:$A$2000,0),MATCH(calc_cohort!$E$2,table_mortality_rate!A$1:C$1,0))</f>
        <v>0.001327</v>
      </c>
      <c r="E163" s="0" t="n">
        <f aca="false">(1-D163)^constant!$B$1</f>
        <v>0.999889349351885</v>
      </c>
      <c r="F163" s="0" t="n">
        <f aca="false">IF(A163=0,1,F162*E163)</f>
        <v>0.988686191661693</v>
      </c>
      <c r="G163" s="5" t="b">
        <f aca="false">B163&gt;=calc_cohort!C$2</f>
        <v>0</v>
      </c>
      <c r="H163" s="0" t="n">
        <f aca="false">IF(G163,1,0)</f>
        <v>0</v>
      </c>
      <c r="I163" s="0" t="n">
        <f aca="false">calc_cohort!$B$2*constant!$B$1*F163*H163</f>
        <v>0</v>
      </c>
      <c r="J163" s="0" t="n">
        <f aca="false">INDEX(table_spot_rate!B$1:B$2000,MATCH(A163,table_spot_rate!A$1:A$2000,0))</f>
        <v>0.0552619304077962</v>
      </c>
      <c r="K163" s="0" t="n">
        <f aca="false">(1+J163)^(-A163*constant!$B$1)</f>
        <v>0.485940429311847</v>
      </c>
      <c r="L163" s="0" t="n">
        <f aca="false">K163*I163</f>
        <v>0</v>
      </c>
    </row>
    <row r="164" customFormat="false" ht="12.8" hidden="false" customHeight="false" outlineLevel="0" collapsed="false">
      <c r="A164" s="0" t="n">
        <v>162</v>
      </c>
      <c r="B164" s="0" t="n">
        <f aca="false">calc_cohort!D$2+constant!$B$1*A164</f>
        <v>44.7</v>
      </c>
      <c r="C164" s="0" t="n">
        <f aca="false">_xlfn.FLOOR.MATH(B164)</f>
        <v>44</v>
      </c>
      <c r="D164" s="4" t="n">
        <f aca="false">INDEX(table_mortality_rate!$A$1:$C$2000,MATCH(C164,table_mortality_rate!$A$1:$A$2000,0),MATCH(calc_cohort!$E$2,table_mortality_rate!A$1:C$1,0))</f>
        <v>0.001327</v>
      </c>
      <c r="E164" s="0" t="n">
        <f aca="false">(1-D164)^constant!$B$1</f>
        <v>0.999889349351885</v>
      </c>
      <c r="F164" s="0" t="n">
        <f aca="false">IF(A164=0,1,F163*E164)</f>
        <v>0.988576792893803</v>
      </c>
      <c r="G164" s="5" t="b">
        <f aca="false">B164&gt;=calc_cohort!C$2</f>
        <v>0</v>
      </c>
      <c r="H164" s="0" t="n">
        <f aca="false">IF(G164,1,0)</f>
        <v>0</v>
      </c>
      <c r="I164" s="0" t="n">
        <f aca="false">calc_cohort!$B$2*constant!$B$1*F164*H164</f>
        <v>0</v>
      </c>
      <c r="J164" s="0" t="n">
        <f aca="false">INDEX(table_spot_rate!B$1:B$2000,MATCH(A164,table_spot_rate!A$1:A$2000,0))</f>
        <v>0.0550241080498839</v>
      </c>
      <c r="K164" s="0" t="n">
        <f aca="false">(1+J164)^(-A164*constant!$B$1)</f>
        <v>0.485241370048971</v>
      </c>
      <c r="L164" s="0" t="n">
        <f aca="false">K164*I164</f>
        <v>0</v>
      </c>
    </row>
    <row r="165" customFormat="false" ht="12.8" hidden="false" customHeight="false" outlineLevel="0" collapsed="false">
      <c r="A165" s="0" t="n">
        <v>163</v>
      </c>
      <c r="B165" s="0" t="n">
        <f aca="false">calc_cohort!D$2+constant!$B$1*A165</f>
        <v>44.7833333333333</v>
      </c>
      <c r="C165" s="0" t="n">
        <f aca="false">_xlfn.FLOOR.MATH(B165)</f>
        <v>44</v>
      </c>
      <c r="D165" s="4" t="n">
        <f aca="false">INDEX(table_mortality_rate!$A$1:$C$2000,MATCH(C165,table_mortality_rate!$A$1:$A$2000,0),MATCH(calc_cohort!$E$2,table_mortality_rate!A$1:C$1,0))</f>
        <v>0.001327</v>
      </c>
      <c r="E165" s="0" t="n">
        <f aca="false">(1-D165)^constant!$B$1</f>
        <v>0.999889349351885</v>
      </c>
      <c r="F165" s="0" t="n">
        <f aca="false">IF(A165=0,1,F164*E165)</f>
        <v>0.988467406230958</v>
      </c>
      <c r="G165" s="5" t="b">
        <f aca="false">B165&gt;=calc_cohort!C$2</f>
        <v>0</v>
      </c>
      <c r="H165" s="0" t="n">
        <f aca="false">IF(G165,1,0)</f>
        <v>0</v>
      </c>
      <c r="I165" s="0" t="n">
        <f aca="false">calc_cohort!$B$2*constant!$B$1*F165*H165</f>
        <v>0</v>
      </c>
      <c r="J165" s="0" t="n">
        <f aca="false">INDEX(table_spot_rate!B$1:B$2000,MATCH(A165,table_spot_rate!A$1:A$2000,0))</f>
        <v>0.0566125942463669</v>
      </c>
      <c r="K165" s="0" t="n">
        <f aca="false">(1+J165)^(-A165*constant!$B$1)</f>
        <v>0.473308112634389</v>
      </c>
      <c r="L165" s="0" t="n">
        <f aca="false">K165*I165</f>
        <v>0</v>
      </c>
    </row>
    <row r="166" customFormat="false" ht="12.8" hidden="false" customHeight="false" outlineLevel="0" collapsed="false">
      <c r="A166" s="0" t="n">
        <v>164</v>
      </c>
      <c r="B166" s="0" t="n">
        <f aca="false">calc_cohort!D$2+constant!$B$1*A166</f>
        <v>44.8666666666667</v>
      </c>
      <c r="C166" s="0" t="n">
        <f aca="false">_xlfn.FLOOR.MATH(B166)</f>
        <v>44</v>
      </c>
      <c r="D166" s="4" t="n">
        <f aca="false">INDEX(table_mortality_rate!$A$1:$C$2000,MATCH(C166,table_mortality_rate!$A$1:$A$2000,0),MATCH(calc_cohort!$E$2,table_mortality_rate!A$1:C$1,0))</f>
        <v>0.001327</v>
      </c>
      <c r="E166" s="0" t="n">
        <f aca="false">(1-D166)^constant!$B$1</f>
        <v>0.999889349351885</v>
      </c>
      <c r="F166" s="0" t="n">
        <f aca="false">IF(A166=0,1,F165*E166)</f>
        <v>0.988358031671818</v>
      </c>
      <c r="G166" s="5" t="b">
        <f aca="false">B166&gt;=calc_cohort!C$2</f>
        <v>0</v>
      </c>
      <c r="H166" s="0" t="n">
        <f aca="false">IF(G166,1,0)</f>
        <v>0</v>
      </c>
      <c r="I166" s="0" t="n">
        <f aca="false">calc_cohort!$B$2*constant!$B$1*F166*H166</f>
        <v>0</v>
      </c>
      <c r="J166" s="0" t="n">
        <f aca="false">INDEX(table_spot_rate!B$1:B$2000,MATCH(A166,table_spot_rate!A$1:A$2000,0))</f>
        <v>0.0541511040815172</v>
      </c>
      <c r="K166" s="0" t="n">
        <f aca="false">(1+J166)^(-A166*constant!$B$1)</f>
        <v>0.486400640207127</v>
      </c>
      <c r="L166" s="0" t="n">
        <f aca="false">K166*I166</f>
        <v>0</v>
      </c>
    </row>
    <row r="167" customFormat="false" ht="12.8" hidden="false" customHeight="false" outlineLevel="0" collapsed="false">
      <c r="A167" s="0" t="n">
        <v>165</v>
      </c>
      <c r="B167" s="0" t="n">
        <f aca="false">calc_cohort!D$2+constant!$B$1*A167</f>
        <v>44.95</v>
      </c>
      <c r="C167" s="0" t="n">
        <f aca="false">_xlfn.FLOOR.MATH(B167)</f>
        <v>44</v>
      </c>
      <c r="D167" s="4" t="n">
        <f aca="false">INDEX(table_mortality_rate!$A$1:$C$2000,MATCH(C167,table_mortality_rate!$A$1:$A$2000,0),MATCH(calc_cohort!$E$2,table_mortality_rate!A$1:C$1,0))</f>
        <v>0.001327</v>
      </c>
      <c r="E167" s="0" t="n">
        <f aca="false">(1-D167)^constant!$B$1</f>
        <v>0.999889349351885</v>
      </c>
      <c r="F167" s="0" t="n">
        <f aca="false">IF(A167=0,1,F166*E167)</f>
        <v>0.988248669215044</v>
      </c>
      <c r="G167" s="5" t="b">
        <f aca="false">B167&gt;=calc_cohort!C$2</f>
        <v>0</v>
      </c>
      <c r="H167" s="0" t="n">
        <f aca="false">IF(G167,1,0)</f>
        <v>0</v>
      </c>
      <c r="I167" s="0" t="n">
        <f aca="false">calc_cohort!$B$2*constant!$B$1*F167*H167</f>
        <v>0</v>
      </c>
      <c r="J167" s="0" t="n">
        <f aca="false">INDEX(table_spot_rate!B$1:B$2000,MATCH(A167,table_spot_rate!A$1:A$2000,0))</f>
        <v>0.0543125202245107</v>
      </c>
      <c r="K167" s="0" t="n">
        <f aca="false">(1+J167)^(-A167*constant!$B$1)</f>
        <v>0.483249314137929</v>
      </c>
      <c r="L167" s="0" t="n">
        <f aca="false">K167*I167</f>
        <v>0</v>
      </c>
    </row>
    <row r="168" customFormat="false" ht="12.8" hidden="false" customHeight="false" outlineLevel="0" collapsed="false">
      <c r="A168" s="0" t="n">
        <v>166</v>
      </c>
      <c r="B168" s="0" t="n">
        <f aca="false">calc_cohort!D$2+constant!$B$1*A168</f>
        <v>45.0333333333333</v>
      </c>
      <c r="C168" s="0" t="n">
        <f aca="false">_xlfn.FLOOR.MATH(B168)</f>
        <v>45</v>
      </c>
      <c r="D168" s="4" t="n">
        <f aca="false">INDEX(table_mortality_rate!$A$1:$C$2000,MATCH(C168,table_mortality_rate!$A$1:$A$2000,0),MATCH(calc_cohort!$E$2,table_mortality_rate!A$1:C$1,0))</f>
        <v>0.001465</v>
      </c>
      <c r="E168" s="0" t="n">
        <f aca="false">(1-D168)^constant!$B$1</f>
        <v>0.999877834615988</v>
      </c>
      <c r="F168" s="0" t="n">
        <f aca="false">IF(A168=0,1,F167*E168)</f>
        <v>0.98812793943687</v>
      </c>
      <c r="G168" s="5" t="b">
        <f aca="false">B168&gt;=calc_cohort!C$2</f>
        <v>0</v>
      </c>
      <c r="H168" s="0" t="n">
        <f aca="false">IF(G168,1,0)</f>
        <v>0</v>
      </c>
      <c r="I168" s="0" t="n">
        <f aca="false">calc_cohort!$B$2*constant!$B$1*F168*H168</f>
        <v>0</v>
      </c>
      <c r="J168" s="0" t="n">
        <f aca="false">INDEX(table_spot_rate!B$1:B$2000,MATCH(A168,table_spot_rate!A$1:A$2000,0))</f>
        <v>0.0585983375494274</v>
      </c>
      <c r="K168" s="0" t="n">
        <f aca="false">(1+J168)^(-A168*constant!$B$1)</f>
        <v>0.454867555797013</v>
      </c>
      <c r="L168" s="0" t="n">
        <f aca="false">K168*I168</f>
        <v>0</v>
      </c>
    </row>
    <row r="169" customFormat="false" ht="12.8" hidden="false" customHeight="false" outlineLevel="0" collapsed="false">
      <c r="A169" s="0" t="n">
        <v>167</v>
      </c>
      <c r="B169" s="0" t="n">
        <f aca="false">calc_cohort!D$2+constant!$B$1*A169</f>
        <v>45.1166666666667</v>
      </c>
      <c r="C169" s="0" t="n">
        <f aca="false">_xlfn.FLOOR.MATH(B169)</f>
        <v>45</v>
      </c>
      <c r="D169" s="4" t="n">
        <f aca="false">INDEX(table_mortality_rate!$A$1:$C$2000,MATCH(C169,table_mortality_rate!$A$1:$A$2000,0),MATCH(calc_cohort!$E$2,table_mortality_rate!A$1:C$1,0))</f>
        <v>0.001465</v>
      </c>
      <c r="E169" s="0" t="n">
        <f aca="false">(1-D169)^constant!$B$1</f>
        <v>0.999877834615988</v>
      </c>
      <c r="F169" s="0" t="n">
        <f aca="false">IF(A169=0,1,F168*E169)</f>
        <v>0.988007224407695</v>
      </c>
      <c r="G169" s="5" t="b">
        <f aca="false">B169&gt;=calc_cohort!C$2</f>
        <v>0</v>
      </c>
      <c r="H169" s="0" t="n">
        <f aca="false">IF(G169,1,0)</f>
        <v>0</v>
      </c>
      <c r="I169" s="0" t="n">
        <f aca="false">calc_cohort!$B$2*constant!$B$1*F169*H169</f>
        <v>0</v>
      </c>
      <c r="J169" s="0" t="n">
        <f aca="false">INDEX(table_spot_rate!B$1:B$2000,MATCH(A169,table_spot_rate!A$1:A$2000,0))</f>
        <v>0.0599034972574211</v>
      </c>
      <c r="K169" s="0" t="n">
        <f aca="false">(1+J169)^(-A169*constant!$B$1)</f>
        <v>0.445017382453987</v>
      </c>
      <c r="L169" s="0" t="n">
        <f aca="false">K169*I169</f>
        <v>0</v>
      </c>
    </row>
    <row r="170" customFormat="false" ht="12.8" hidden="false" customHeight="false" outlineLevel="0" collapsed="false">
      <c r="A170" s="0" t="n">
        <v>168</v>
      </c>
      <c r="B170" s="0" t="n">
        <f aca="false">calc_cohort!D$2+constant!$B$1*A170</f>
        <v>45.2</v>
      </c>
      <c r="C170" s="0" t="n">
        <f aca="false">_xlfn.FLOOR.MATH(B170)</f>
        <v>45</v>
      </c>
      <c r="D170" s="4" t="n">
        <f aca="false">INDEX(table_mortality_rate!$A$1:$C$2000,MATCH(C170,table_mortality_rate!$A$1:$A$2000,0),MATCH(calc_cohort!$E$2,table_mortality_rate!A$1:C$1,0))</f>
        <v>0.001465</v>
      </c>
      <c r="E170" s="0" t="n">
        <f aca="false">(1-D170)^constant!$B$1</f>
        <v>0.999877834615988</v>
      </c>
      <c r="F170" s="0" t="n">
        <f aca="false">IF(A170=0,1,F169*E170)</f>
        <v>0.987886524125719</v>
      </c>
      <c r="G170" s="5" t="b">
        <f aca="false">B170&gt;=calc_cohort!C$2</f>
        <v>0</v>
      </c>
      <c r="H170" s="0" t="n">
        <f aca="false">IF(G170,1,0)</f>
        <v>0</v>
      </c>
      <c r="I170" s="0" t="n">
        <f aca="false">calc_cohort!$B$2*constant!$B$1*F170*H170</f>
        <v>0</v>
      </c>
      <c r="J170" s="0" t="n">
        <f aca="false">INDEX(table_spot_rate!B$1:B$2000,MATCH(A170,table_spot_rate!A$1:A$2000,0))</f>
        <v>0.058500901891797</v>
      </c>
      <c r="K170" s="0" t="n">
        <f aca="false">(1+J170)^(-A170*constant!$B$1)</f>
        <v>0.451151854044942</v>
      </c>
      <c r="L170" s="0" t="n">
        <f aca="false">K170*I170</f>
        <v>0</v>
      </c>
    </row>
    <row r="171" customFormat="false" ht="12.8" hidden="false" customHeight="false" outlineLevel="0" collapsed="false">
      <c r="A171" s="0" t="n">
        <v>169</v>
      </c>
      <c r="B171" s="0" t="n">
        <f aca="false">calc_cohort!D$2+constant!$B$1*A171</f>
        <v>45.2833333333333</v>
      </c>
      <c r="C171" s="0" t="n">
        <f aca="false">_xlfn.FLOOR.MATH(B171)</f>
        <v>45</v>
      </c>
      <c r="D171" s="4" t="n">
        <f aca="false">INDEX(table_mortality_rate!$A$1:$C$2000,MATCH(C171,table_mortality_rate!$A$1:$A$2000,0),MATCH(calc_cohort!$E$2,table_mortality_rate!A$1:C$1,0))</f>
        <v>0.001465</v>
      </c>
      <c r="E171" s="0" t="n">
        <f aca="false">(1-D171)^constant!$B$1</f>
        <v>0.999877834615988</v>
      </c>
      <c r="F171" s="0" t="n">
        <f aca="false">IF(A171=0,1,F170*E171)</f>
        <v>0.987765838589138</v>
      </c>
      <c r="G171" s="5" t="b">
        <f aca="false">B171&gt;=calc_cohort!C$2</f>
        <v>0</v>
      </c>
      <c r="H171" s="0" t="n">
        <f aca="false">IF(G171,1,0)</f>
        <v>0</v>
      </c>
      <c r="I171" s="0" t="n">
        <f aca="false">calc_cohort!$B$2*constant!$B$1*F171*H171</f>
        <v>0</v>
      </c>
      <c r="J171" s="0" t="n">
        <f aca="false">INDEX(table_spot_rate!B$1:B$2000,MATCH(A171,table_spot_rate!A$1:A$2000,0))</f>
        <v>0.0567197827495903</v>
      </c>
      <c r="K171" s="0" t="n">
        <f aca="false">(1+J171)^(-A171*constant!$B$1)</f>
        <v>0.459796452767375</v>
      </c>
      <c r="L171" s="0" t="n">
        <f aca="false">K171*I171</f>
        <v>0</v>
      </c>
    </row>
    <row r="172" customFormat="false" ht="12.8" hidden="false" customHeight="false" outlineLevel="0" collapsed="false">
      <c r="A172" s="0" t="n">
        <v>170</v>
      </c>
      <c r="B172" s="0" t="n">
        <f aca="false">calc_cohort!D$2+constant!$B$1*A172</f>
        <v>45.3666666666667</v>
      </c>
      <c r="C172" s="0" t="n">
        <f aca="false">_xlfn.FLOOR.MATH(B172)</f>
        <v>45</v>
      </c>
      <c r="D172" s="4" t="n">
        <f aca="false">INDEX(table_mortality_rate!$A$1:$C$2000,MATCH(C172,table_mortality_rate!$A$1:$A$2000,0),MATCH(calc_cohort!$E$2,table_mortality_rate!A$1:C$1,0))</f>
        <v>0.001465</v>
      </c>
      <c r="E172" s="0" t="n">
        <f aca="false">(1-D172)^constant!$B$1</f>
        <v>0.999877834615988</v>
      </c>
      <c r="F172" s="0" t="n">
        <f aca="false">IF(A172=0,1,F171*E172)</f>
        <v>0.987645167796153</v>
      </c>
      <c r="G172" s="5" t="b">
        <f aca="false">B172&gt;=calc_cohort!C$2</f>
        <v>0</v>
      </c>
      <c r="H172" s="0" t="n">
        <f aca="false">IF(G172,1,0)</f>
        <v>0</v>
      </c>
      <c r="I172" s="0" t="n">
        <f aca="false">calc_cohort!$B$2*constant!$B$1*F172*H172</f>
        <v>0</v>
      </c>
      <c r="J172" s="0" t="n">
        <f aca="false">INDEX(table_spot_rate!B$1:B$2000,MATCH(A172,table_spot_rate!A$1:A$2000,0))</f>
        <v>0.0559958028255652</v>
      </c>
      <c r="K172" s="0" t="n">
        <f aca="false">(1+J172)^(-A172*constant!$B$1)</f>
        <v>0.462152825585943</v>
      </c>
      <c r="L172" s="0" t="n">
        <f aca="false">K172*I172</f>
        <v>0</v>
      </c>
    </row>
    <row r="173" customFormat="false" ht="12.8" hidden="false" customHeight="false" outlineLevel="0" collapsed="false">
      <c r="A173" s="0" t="n">
        <v>171</v>
      </c>
      <c r="B173" s="0" t="n">
        <f aca="false">calc_cohort!D$2+constant!$B$1*A173</f>
        <v>45.45</v>
      </c>
      <c r="C173" s="0" t="n">
        <f aca="false">_xlfn.FLOOR.MATH(B173)</f>
        <v>45</v>
      </c>
      <c r="D173" s="4" t="n">
        <f aca="false">INDEX(table_mortality_rate!$A$1:$C$2000,MATCH(C173,table_mortality_rate!$A$1:$A$2000,0),MATCH(calc_cohort!$E$2,table_mortality_rate!A$1:C$1,0))</f>
        <v>0.001465</v>
      </c>
      <c r="E173" s="0" t="n">
        <f aca="false">(1-D173)^constant!$B$1</f>
        <v>0.999877834615988</v>
      </c>
      <c r="F173" s="0" t="n">
        <f aca="false">IF(A173=0,1,F172*E173)</f>
        <v>0.987524511744961</v>
      </c>
      <c r="G173" s="5" t="b">
        <f aca="false">B173&gt;=calc_cohort!C$2</f>
        <v>0</v>
      </c>
      <c r="H173" s="0" t="n">
        <f aca="false">IF(G173,1,0)</f>
        <v>0</v>
      </c>
      <c r="I173" s="0" t="n">
        <f aca="false">calc_cohort!$B$2*constant!$B$1*F173*H173</f>
        <v>0</v>
      </c>
      <c r="J173" s="0" t="n">
        <f aca="false">INDEX(table_spot_rate!B$1:B$2000,MATCH(A173,table_spot_rate!A$1:A$2000,0))</f>
        <v>0.0563071483074287</v>
      </c>
      <c r="K173" s="0" t="n">
        <f aca="false">(1+J173)^(-A173*constant!$B$1)</f>
        <v>0.458130686149574</v>
      </c>
      <c r="L173" s="0" t="n">
        <f aca="false">K173*I173</f>
        <v>0</v>
      </c>
    </row>
    <row r="174" customFormat="false" ht="12.8" hidden="false" customHeight="false" outlineLevel="0" collapsed="false">
      <c r="A174" s="0" t="n">
        <v>172</v>
      </c>
      <c r="B174" s="0" t="n">
        <f aca="false">calc_cohort!D$2+constant!$B$1*A174</f>
        <v>45.5333333333333</v>
      </c>
      <c r="C174" s="0" t="n">
        <f aca="false">_xlfn.FLOOR.MATH(B174)</f>
        <v>45</v>
      </c>
      <c r="D174" s="4" t="n">
        <f aca="false">INDEX(table_mortality_rate!$A$1:$C$2000,MATCH(C174,table_mortality_rate!$A$1:$A$2000,0),MATCH(calc_cohort!$E$2,table_mortality_rate!A$1:C$1,0))</f>
        <v>0.001465</v>
      </c>
      <c r="E174" s="0" t="n">
        <f aca="false">(1-D174)^constant!$B$1</f>
        <v>0.999877834615988</v>
      </c>
      <c r="F174" s="0" t="n">
        <f aca="false">IF(A174=0,1,F173*E174)</f>
        <v>0.987403870433763</v>
      </c>
      <c r="G174" s="5" t="b">
        <f aca="false">B174&gt;=calc_cohort!C$2</f>
        <v>0</v>
      </c>
      <c r="H174" s="0" t="n">
        <f aca="false">IF(G174,1,0)</f>
        <v>0</v>
      </c>
      <c r="I174" s="0" t="n">
        <f aca="false">calc_cohort!$B$2*constant!$B$1*F174*H174</f>
        <v>0</v>
      </c>
      <c r="J174" s="0" t="n">
        <f aca="false">INDEX(table_spot_rate!B$1:B$2000,MATCH(A174,table_spot_rate!A$1:A$2000,0))</f>
        <v>0.0515224569229461</v>
      </c>
      <c r="K174" s="0" t="n">
        <f aca="false">(1+J174)^(-A174*constant!$B$1)</f>
        <v>0.486706805540719</v>
      </c>
      <c r="L174" s="0" t="n">
        <f aca="false">K174*I174</f>
        <v>0</v>
      </c>
    </row>
    <row r="175" customFormat="false" ht="12.8" hidden="false" customHeight="false" outlineLevel="0" collapsed="false">
      <c r="A175" s="0" t="n">
        <v>173</v>
      </c>
      <c r="B175" s="0" t="n">
        <f aca="false">calc_cohort!D$2+constant!$B$1*A175</f>
        <v>45.6166666666667</v>
      </c>
      <c r="C175" s="0" t="n">
        <f aca="false">_xlfn.FLOOR.MATH(B175)</f>
        <v>45</v>
      </c>
      <c r="D175" s="4" t="n">
        <f aca="false">INDEX(table_mortality_rate!$A$1:$C$2000,MATCH(C175,table_mortality_rate!$A$1:$A$2000,0),MATCH(calc_cohort!$E$2,table_mortality_rate!A$1:C$1,0))</f>
        <v>0.001465</v>
      </c>
      <c r="E175" s="0" t="n">
        <f aca="false">(1-D175)^constant!$B$1</f>
        <v>0.999877834615988</v>
      </c>
      <c r="F175" s="0" t="n">
        <f aca="false">IF(A175=0,1,F174*E175)</f>
        <v>0.987283243860756</v>
      </c>
      <c r="G175" s="5" t="b">
        <f aca="false">B175&gt;=calc_cohort!C$2</f>
        <v>0</v>
      </c>
      <c r="H175" s="0" t="n">
        <f aca="false">IF(G175,1,0)</f>
        <v>0</v>
      </c>
      <c r="I175" s="0" t="n">
        <f aca="false">calc_cohort!$B$2*constant!$B$1*F175*H175</f>
        <v>0</v>
      </c>
      <c r="J175" s="0" t="n">
        <f aca="false">INDEX(table_spot_rate!B$1:B$2000,MATCH(A175,table_spot_rate!A$1:A$2000,0))</f>
        <v>0.0595269567479803</v>
      </c>
      <c r="K175" s="0" t="n">
        <f aca="false">(1+J175)^(-A175*constant!$B$1)</f>
        <v>0.434478723299459</v>
      </c>
      <c r="L175" s="0" t="n">
        <f aca="false">K175*I175</f>
        <v>0</v>
      </c>
    </row>
    <row r="176" customFormat="false" ht="12.8" hidden="false" customHeight="false" outlineLevel="0" collapsed="false">
      <c r="A176" s="0" t="n">
        <v>174</v>
      </c>
      <c r="B176" s="0" t="n">
        <f aca="false">calc_cohort!D$2+constant!$B$1*A176</f>
        <v>45.7</v>
      </c>
      <c r="C176" s="0" t="n">
        <f aca="false">_xlfn.FLOOR.MATH(B176)</f>
        <v>45</v>
      </c>
      <c r="D176" s="4" t="n">
        <f aca="false">INDEX(table_mortality_rate!$A$1:$C$2000,MATCH(C176,table_mortality_rate!$A$1:$A$2000,0),MATCH(calc_cohort!$E$2,table_mortality_rate!A$1:C$1,0))</f>
        <v>0.001465</v>
      </c>
      <c r="E176" s="0" t="n">
        <f aca="false">(1-D176)^constant!$B$1</f>
        <v>0.999877834615988</v>
      </c>
      <c r="F176" s="0" t="n">
        <f aca="false">IF(A176=0,1,F175*E176)</f>
        <v>0.987162632024141</v>
      </c>
      <c r="G176" s="5" t="b">
        <f aca="false">B176&gt;=calc_cohort!C$2</f>
        <v>0</v>
      </c>
      <c r="H176" s="0" t="n">
        <f aca="false">IF(G176,1,0)</f>
        <v>0</v>
      </c>
      <c r="I176" s="0" t="n">
        <f aca="false">calc_cohort!$B$2*constant!$B$1*F176*H176</f>
        <v>0</v>
      </c>
      <c r="J176" s="0" t="n">
        <f aca="false">INDEX(table_spot_rate!B$1:B$2000,MATCH(A176,table_spot_rate!A$1:A$2000,0))</f>
        <v>0.0546934602284846</v>
      </c>
      <c r="K176" s="0" t="n">
        <f aca="false">(1+J176)^(-A176*constant!$B$1)</f>
        <v>0.462029100219724</v>
      </c>
      <c r="L176" s="0" t="n">
        <f aca="false">K176*I176</f>
        <v>0</v>
      </c>
    </row>
    <row r="177" customFormat="false" ht="12.8" hidden="false" customHeight="false" outlineLevel="0" collapsed="false">
      <c r="A177" s="0" t="n">
        <v>175</v>
      </c>
      <c r="B177" s="0" t="n">
        <f aca="false">calc_cohort!D$2+constant!$B$1*A177</f>
        <v>45.7833333333333</v>
      </c>
      <c r="C177" s="0" t="n">
        <f aca="false">_xlfn.FLOOR.MATH(B177)</f>
        <v>45</v>
      </c>
      <c r="D177" s="4" t="n">
        <f aca="false">INDEX(table_mortality_rate!$A$1:$C$2000,MATCH(C177,table_mortality_rate!$A$1:$A$2000,0),MATCH(calc_cohort!$E$2,table_mortality_rate!A$1:C$1,0))</f>
        <v>0.001465</v>
      </c>
      <c r="E177" s="0" t="n">
        <f aca="false">(1-D177)^constant!$B$1</f>
        <v>0.999877834615988</v>
      </c>
      <c r="F177" s="0" t="n">
        <f aca="false">IF(A177=0,1,F176*E177)</f>
        <v>0.987042034922117</v>
      </c>
      <c r="G177" s="5" t="b">
        <f aca="false">B177&gt;=calc_cohort!C$2</f>
        <v>0</v>
      </c>
      <c r="H177" s="0" t="n">
        <f aca="false">IF(G177,1,0)</f>
        <v>0</v>
      </c>
      <c r="I177" s="0" t="n">
        <f aca="false">calc_cohort!$B$2*constant!$B$1*F177*H177</f>
        <v>0</v>
      </c>
      <c r="J177" s="0" t="n">
        <f aca="false">INDEX(table_spot_rate!B$1:B$2000,MATCH(A177,table_spot_rate!A$1:A$2000,0))</f>
        <v>0.0514957790248558</v>
      </c>
      <c r="K177" s="0" t="n">
        <f aca="false">(1+J177)^(-A177*constant!$B$1)</f>
        <v>0.480809973287055</v>
      </c>
      <c r="L177" s="0" t="n">
        <f aca="false">K177*I177</f>
        <v>0</v>
      </c>
    </row>
    <row r="178" customFormat="false" ht="12.8" hidden="false" customHeight="false" outlineLevel="0" collapsed="false">
      <c r="A178" s="0" t="n">
        <v>176</v>
      </c>
      <c r="B178" s="0" t="n">
        <f aca="false">calc_cohort!D$2+constant!$B$1*A178</f>
        <v>45.8666666666667</v>
      </c>
      <c r="C178" s="0" t="n">
        <f aca="false">_xlfn.FLOOR.MATH(B178)</f>
        <v>45</v>
      </c>
      <c r="D178" s="4" t="n">
        <f aca="false">INDEX(table_mortality_rate!$A$1:$C$2000,MATCH(C178,table_mortality_rate!$A$1:$A$2000,0),MATCH(calc_cohort!$E$2,table_mortality_rate!A$1:C$1,0))</f>
        <v>0.001465</v>
      </c>
      <c r="E178" s="0" t="n">
        <f aca="false">(1-D178)^constant!$B$1</f>
        <v>0.999877834615988</v>
      </c>
      <c r="F178" s="0" t="n">
        <f aca="false">IF(A178=0,1,F177*E178)</f>
        <v>0.986921452552885</v>
      </c>
      <c r="G178" s="5" t="b">
        <f aca="false">B178&gt;=calc_cohort!C$2</f>
        <v>0</v>
      </c>
      <c r="H178" s="0" t="n">
        <f aca="false">IF(G178,1,0)</f>
        <v>0</v>
      </c>
      <c r="I178" s="0" t="n">
        <f aca="false">calc_cohort!$B$2*constant!$B$1*F178*H178</f>
        <v>0</v>
      </c>
      <c r="J178" s="0" t="n">
        <f aca="false">INDEX(table_spot_rate!B$1:B$2000,MATCH(A178,table_spot_rate!A$1:A$2000,0))</f>
        <v>0.0585199704582154</v>
      </c>
      <c r="K178" s="0" t="n">
        <f aca="false">(1+J178)^(-A178*constant!$B$1)</f>
        <v>0.434257350784559</v>
      </c>
      <c r="L178" s="0" t="n">
        <f aca="false">K178*I178</f>
        <v>0</v>
      </c>
    </row>
    <row r="179" customFormat="false" ht="12.8" hidden="false" customHeight="false" outlineLevel="0" collapsed="false">
      <c r="A179" s="0" t="n">
        <v>177</v>
      </c>
      <c r="B179" s="0" t="n">
        <f aca="false">calc_cohort!D$2+constant!$B$1*A179</f>
        <v>45.95</v>
      </c>
      <c r="C179" s="0" t="n">
        <f aca="false">_xlfn.FLOOR.MATH(B179)</f>
        <v>45</v>
      </c>
      <c r="D179" s="4" t="n">
        <f aca="false">INDEX(table_mortality_rate!$A$1:$C$2000,MATCH(C179,table_mortality_rate!$A$1:$A$2000,0),MATCH(calc_cohort!$E$2,table_mortality_rate!A$1:C$1,0))</f>
        <v>0.001465</v>
      </c>
      <c r="E179" s="0" t="n">
        <f aca="false">(1-D179)^constant!$B$1</f>
        <v>0.999877834615988</v>
      </c>
      <c r="F179" s="0" t="n">
        <f aca="false">IF(A179=0,1,F178*E179)</f>
        <v>0.986800884914644</v>
      </c>
      <c r="G179" s="5" t="b">
        <f aca="false">B179&gt;=calc_cohort!C$2</f>
        <v>0</v>
      </c>
      <c r="H179" s="0" t="n">
        <f aca="false">IF(G179,1,0)</f>
        <v>0</v>
      </c>
      <c r="I179" s="0" t="n">
        <f aca="false">calc_cohort!$B$2*constant!$B$1*F179*H179</f>
        <v>0</v>
      </c>
      <c r="J179" s="0" t="n">
        <f aca="false">INDEX(table_spot_rate!B$1:B$2000,MATCH(A179,table_spot_rate!A$1:A$2000,0))</f>
        <v>0.0511767697346454</v>
      </c>
      <c r="K179" s="0" t="n">
        <f aca="false">(1+J179)^(-A179*constant!$B$1)</f>
        <v>0.478941663044597</v>
      </c>
      <c r="L179" s="0" t="n">
        <f aca="false">K179*I179</f>
        <v>0</v>
      </c>
    </row>
    <row r="180" customFormat="false" ht="12.8" hidden="false" customHeight="false" outlineLevel="0" collapsed="false">
      <c r="A180" s="0" t="n">
        <v>178</v>
      </c>
      <c r="B180" s="0" t="n">
        <f aca="false">calc_cohort!D$2+constant!$B$1*A180</f>
        <v>46.0333333333333</v>
      </c>
      <c r="C180" s="0" t="n">
        <f aca="false">_xlfn.FLOOR.MATH(B180)</f>
        <v>46</v>
      </c>
      <c r="D180" s="4" t="n">
        <f aca="false">INDEX(table_mortality_rate!$A$1:$C$2000,MATCH(C180,table_mortality_rate!$A$1:$A$2000,0),MATCH(calc_cohort!$E$2,table_mortality_rate!A$1:C$1,0))</f>
        <v>0.001622</v>
      </c>
      <c r="E180" s="0" t="n">
        <f aca="false">(1-D180)^constant!$B$1</f>
        <v>0.999864732743927</v>
      </c>
      <c r="F180" s="0" t="n">
        <f aca="false">IF(A180=0,1,F179*E180)</f>
        <v>0.986667403066651</v>
      </c>
      <c r="G180" s="5" t="b">
        <f aca="false">B180&gt;=calc_cohort!C$2</f>
        <v>0</v>
      </c>
      <c r="H180" s="0" t="n">
        <f aca="false">IF(G180,1,0)</f>
        <v>0</v>
      </c>
      <c r="I180" s="0" t="n">
        <f aca="false">calc_cohort!$B$2*constant!$B$1*F180*H180</f>
        <v>0</v>
      </c>
      <c r="J180" s="0" t="n">
        <f aca="false">INDEX(table_spot_rate!B$1:B$2000,MATCH(A180,table_spot_rate!A$1:A$2000,0))</f>
        <v>0.0569367372887558</v>
      </c>
      <c r="K180" s="0" t="n">
        <f aca="false">(1+J180)^(-A180*constant!$B$1)</f>
        <v>0.439818267306564</v>
      </c>
      <c r="L180" s="0" t="n">
        <f aca="false">K180*I180</f>
        <v>0</v>
      </c>
    </row>
    <row r="181" customFormat="false" ht="12.8" hidden="false" customHeight="false" outlineLevel="0" collapsed="false">
      <c r="A181" s="0" t="n">
        <v>179</v>
      </c>
      <c r="B181" s="0" t="n">
        <f aca="false">calc_cohort!D$2+constant!$B$1*A181</f>
        <v>46.1166666666667</v>
      </c>
      <c r="C181" s="0" t="n">
        <f aca="false">_xlfn.FLOOR.MATH(B181)</f>
        <v>46</v>
      </c>
      <c r="D181" s="4" t="n">
        <f aca="false">INDEX(table_mortality_rate!$A$1:$C$2000,MATCH(C181,table_mortality_rate!$A$1:$A$2000,0),MATCH(calc_cohort!$E$2,table_mortality_rate!A$1:C$1,0))</f>
        <v>0.001622</v>
      </c>
      <c r="E181" s="0" t="n">
        <f aca="false">(1-D181)^constant!$B$1</f>
        <v>0.999864732743927</v>
      </c>
      <c r="F181" s="0" t="n">
        <f aca="false">IF(A181=0,1,F180*E181)</f>
        <v>0.986533939274381</v>
      </c>
      <c r="G181" s="5" t="b">
        <f aca="false">B181&gt;=calc_cohort!C$2</f>
        <v>0</v>
      </c>
      <c r="H181" s="0" t="n">
        <f aca="false">IF(G181,1,0)</f>
        <v>0</v>
      </c>
      <c r="I181" s="0" t="n">
        <f aca="false">calc_cohort!$B$2*constant!$B$1*F181*H181</f>
        <v>0</v>
      </c>
      <c r="J181" s="0" t="n">
        <f aca="false">INDEX(table_spot_rate!B$1:B$2000,MATCH(A181,table_spot_rate!A$1:A$2000,0))</f>
        <v>0.0509156076765719</v>
      </c>
      <c r="K181" s="0" t="n">
        <f aca="false">(1+J181)^(-A181*constant!$B$1)</f>
        <v>0.476737911957955</v>
      </c>
      <c r="L181" s="0" t="n">
        <f aca="false">K181*I181</f>
        <v>0</v>
      </c>
    </row>
    <row r="182" customFormat="false" ht="12.8" hidden="false" customHeight="false" outlineLevel="0" collapsed="false">
      <c r="A182" s="0" t="n">
        <v>180</v>
      </c>
      <c r="B182" s="0" t="n">
        <f aca="false">calc_cohort!D$2+constant!$B$1*A182</f>
        <v>46.2</v>
      </c>
      <c r="C182" s="0" t="n">
        <f aca="false">_xlfn.FLOOR.MATH(B182)</f>
        <v>46</v>
      </c>
      <c r="D182" s="4" t="n">
        <f aca="false">INDEX(table_mortality_rate!$A$1:$C$2000,MATCH(C182,table_mortality_rate!$A$1:$A$2000,0),MATCH(calc_cohort!$E$2,table_mortality_rate!A$1:C$1,0))</f>
        <v>0.001622</v>
      </c>
      <c r="E182" s="0" t="n">
        <f aca="false">(1-D182)^constant!$B$1</f>
        <v>0.999864732743927</v>
      </c>
      <c r="F182" s="0" t="n">
        <f aca="false">IF(A182=0,1,F181*E182)</f>
        <v>0.986400493535392</v>
      </c>
      <c r="G182" s="5" t="b">
        <f aca="false">B182&gt;=calc_cohort!C$2</f>
        <v>0</v>
      </c>
      <c r="H182" s="0" t="n">
        <f aca="false">IF(G182,1,0)</f>
        <v>0</v>
      </c>
      <c r="I182" s="0" t="n">
        <f aca="false">calc_cohort!$B$2*constant!$B$1*F182*H182</f>
        <v>0</v>
      </c>
      <c r="J182" s="0" t="n">
        <f aca="false">INDEX(table_spot_rate!B$1:B$2000,MATCH(A182,table_spot_rate!A$1:A$2000,0))</f>
        <v>0.050907370922917</v>
      </c>
      <c r="K182" s="0" t="n">
        <f aca="false">(1+J182)^(-A182*constant!$B$1)</f>
        <v>0.474824837226067</v>
      </c>
      <c r="L182" s="0" t="n">
        <f aca="false">K182*I182</f>
        <v>0</v>
      </c>
    </row>
    <row r="183" customFormat="false" ht="12.8" hidden="false" customHeight="false" outlineLevel="0" collapsed="false">
      <c r="A183" s="0" t="n">
        <v>181</v>
      </c>
      <c r="B183" s="0" t="n">
        <f aca="false">calc_cohort!D$2+constant!$B$1*A183</f>
        <v>46.2833333333333</v>
      </c>
      <c r="C183" s="0" t="n">
        <f aca="false">_xlfn.FLOOR.MATH(B183)</f>
        <v>46</v>
      </c>
      <c r="D183" s="4" t="n">
        <f aca="false">INDEX(table_mortality_rate!$A$1:$C$2000,MATCH(C183,table_mortality_rate!$A$1:$A$2000,0),MATCH(calc_cohort!$E$2,table_mortality_rate!A$1:C$1,0))</f>
        <v>0.001622</v>
      </c>
      <c r="E183" s="0" t="n">
        <f aca="false">(1-D183)^constant!$B$1</f>
        <v>0.999864732743927</v>
      </c>
      <c r="F183" s="0" t="n">
        <f aca="false">IF(A183=0,1,F182*E183)</f>
        <v>0.986267065847242</v>
      </c>
      <c r="G183" s="5" t="b">
        <f aca="false">B183&gt;=calc_cohort!C$2</f>
        <v>0</v>
      </c>
      <c r="H183" s="0" t="n">
        <f aca="false">IF(G183,1,0)</f>
        <v>0</v>
      </c>
      <c r="I183" s="0" t="n">
        <f aca="false">calc_cohort!$B$2*constant!$B$1*F183*H183</f>
        <v>0</v>
      </c>
      <c r="J183" s="0" t="n">
        <f aca="false">INDEX(table_spot_rate!B$1:B$2000,MATCH(A183,table_spot_rate!A$1:A$2000,0))</f>
        <v>0.0567395829019328</v>
      </c>
      <c r="K183" s="0" t="n">
        <f aca="false">(1+J183)^(-A183*constant!$B$1)</f>
        <v>0.434993771517776</v>
      </c>
      <c r="L183" s="0" t="n">
        <f aca="false">K183*I183</f>
        <v>0</v>
      </c>
    </row>
    <row r="184" customFormat="false" ht="12.8" hidden="false" customHeight="false" outlineLevel="0" collapsed="false">
      <c r="A184" s="0" t="n">
        <v>182</v>
      </c>
      <c r="B184" s="0" t="n">
        <f aca="false">calc_cohort!D$2+constant!$B$1*A184</f>
        <v>46.3666666666667</v>
      </c>
      <c r="C184" s="0" t="n">
        <f aca="false">_xlfn.FLOOR.MATH(B184)</f>
        <v>46</v>
      </c>
      <c r="D184" s="4" t="n">
        <f aca="false">INDEX(table_mortality_rate!$A$1:$C$2000,MATCH(C184,table_mortality_rate!$A$1:$A$2000,0),MATCH(calc_cohort!$E$2,table_mortality_rate!A$1:C$1,0))</f>
        <v>0.001622</v>
      </c>
      <c r="E184" s="0" t="n">
        <f aca="false">(1-D184)^constant!$B$1</f>
        <v>0.999864732743927</v>
      </c>
      <c r="F184" s="0" t="n">
        <f aca="false">IF(A184=0,1,F183*E184)</f>
        <v>0.98613365620749</v>
      </c>
      <c r="G184" s="5" t="b">
        <f aca="false">B184&gt;=calc_cohort!C$2</f>
        <v>0</v>
      </c>
      <c r="H184" s="0" t="n">
        <f aca="false">IF(G184,1,0)</f>
        <v>0</v>
      </c>
      <c r="I184" s="0" t="n">
        <f aca="false">calc_cohort!$B$2*constant!$B$1*F184*H184</f>
        <v>0</v>
      </c>
      <c r="J184" s="0" t="n">
        <f aca="false">INDEX(table_spot_rate!B$1:B$2000,MATCH(A184,table_spot_rate!A$1:A$2000,0))</f>
        <v>0.0561991981598371</v>
      </c>
      <c r="K184" s="0" t="n">
        <f aca="false">(1+J184)^(-A184*constant!$B$1)</f>
        <v>0.436369973628882</v>
      </c>
      <c r="L184" s="0" t="n">
        <f aca="false">K184*I184</f>
        <v>0</v>
      </c>
    </row>
    <row r="185" customFormat="false" ht="12.8" hidden="false" customHeight="false" outlineLevel="0" collapsed="false">
      <c r="A185" s="0" t="n">
        <v>183</v>
      </c>
      <c r="B185" s="0" t="n">
        <f aca="false">calc_cohort!D$2+constant!$B$1*A185</f>
        <v>46.45</v>
      </c>
      <c r="C185" s="0" t="n">
        <f aca="false">_xlfn.FLOOR.MATH(B185)</f>
        <v>46</v>
      </c>
      <c r="D185" s="4" t="n">
        <f aca="false">INDEX(table_mortality_rate!$A$1:$C$2000,MATCH(C185,table_mortality_rate!$A$1:$A$2000,0),MATCH(calc_cohort!$E$2,table_mortality_rate!A$1:C$1,0))</f>
        <v>0.001622</v>
      </c>
      <c r="E185" s="0" t="n">
        <f aca="false">(1-D185)^constant!$B$1</f>
        <v>0.999864732743927</v>
      </c>
      <c r="F185" s="0" t="n">
        <f aca="false">IF(A185=0,1,F184*E185)</f>
        <v>0.986000264613693</v>
      </c>
      <c r="G185" s="5" t="b">
        <f aca="false">B185&gt;=calc_cohort!C$2</f>
        <v>0</v>
      </c>
      <c r="H185" s="0" t="n">
        <f aca="false">IF(G185,1,0)</f>
        <v>0</v>
      </c>
      <c r="I185" s="0" t="n">
        <f aca="false">calc_cohort!$B$2*constant!$B$1*F185*H185</f>
        <v>0</v>
      </c>
      <c r="J185" s="0" t="n">
        <f aca="false">INDEX(table_spot_rate!B$1:B$2000,MATCH(A185,table_spot_rate!A$1:A$2000,0))</f>
        <v>0.0518054680186864</v>
      </c>
      <c r="K185" s="0" t="n">
        <f aca="false">(1+J185)^(-A185*constant!$B$1)</f>
        <v>0.46289744130823</v>
      </c>
      <c r="L185" s="0" t="n">
        <f aca="false">K185*I185</f>
        <v>0</v>
      </c>
    </row>
    <row r="186" customFormat="false" ht="12.8" hidden="false" customHeight="false" outlineLevel="0" collapsed="false">
      <c r="A186" s="0" t="n">
        <v>184</v>
      </c>
      <c r="B186" s="0" t="n">
        <f aca="false">calc_cohort!D$2+constant!$B$1*A186</f>
        <v>46.5333333333333</v>
      </c>
      <c r="C186" s="0" t="n">
        <f aca="false">_xlfn.FLOOR.MATH(B186)</f>
        <v>46</v>
      </c>
      <c r="D186" s="4" t="n">
        <f aca="false">INDEX(table_mortality_rate!$A$1:$C$2000,MATCH(C186,table_mortality_rate!$A$1:$A$2000,0),MATCH(calc_cohort!$E$2,table_mortality_rate!A$1:C$1,0))</f>
        <v>0.001622</v>
      </c>
      <c r="E186" s="0" t="n">
        <f aca="false">(1-D186)^constant!$B$1</f>
        <v>0.999864732743927</v>
      </c>
      <c r="F186" s="0" t="n">
        <f aca="false">IF(A186=0,1,F185*E186)</f>
        <v>0.985866891063411</v>
      </c>
      <c r="G186" s="5" t="b">
        <f aca="false">B186&gt;=calc_cohort!C$2</f>
        <v>0</v>
      </c>
      <c r="H186" s="0" t="n">
        <f aca="false">IF(G186,1,0)</f>
        <v>0</v>
      </c>
      <c r="I186" s="0" t="n">
        <f aca="false">calc_cohort!$B$2*constant!$B$1*F186*H186</f>
        <v>0</v>
      </c>
      <c r="J186" s="0" t="n">
        <f aca="false">INDEX(table_spot_rate!B$1:B$2000,MATCH(A186,table_spot_rate!A$1:A$2000,0))</f>
        <v>0.0514806941571909</v>
      </c>
      <c r="K186" s="0" t="n">
        <f aca="false">(1+J186)^(-A186*constant!$B$1)</f>
        <v>0.463141130370033</v>
      </c>
      <c r="L186" s="0" t="n">
        <f aca="false">K186*I186</f>
        <v>0</v>
      </c>
    </row>
    <row r="187" customFormat="false" ht="12.8" hidden="false" customHeight="false" outlineLevel="0" collapsed="false">
      <c r="A187" s="0" t="n">
        <v>185</v>
      </c>
      <c r="B187" s="0" t="n">
        <f aca="false">calc_cohort!D$2+constant!$B$1*A187</f>
        <v>46.6166666666667</v>
      </c>
      <c r="C187" s="0" t="n">
        <f aca="false">_xlfn.FLOOR.MATH(B187)</f>
        <v>46</v>
      </c>
      <c r="D187" s="4" t="n">
        <f aca="false">INDEX(table_mortality_rate!$A$1:$C$2000,MATCH(C187,table_mortality_rate!$A$1:$A$2000,0),MATCH(calc_cohort!$E$2,table_mortality_rate!A$1:C$1,0))</f>
        <v>0.001622</v>
      </c>
      <c r="E187" s="0" t="n">
        <f aca="false">(1-D187)^constant!$B$1</f>
        <v>0.999864732743927</v>
      </c>
      <c r="F187" s="0" t="n">
        <f aca="false">IF(A187=0,1,F186*E187)</f>
        <v>0.985733535554203</v>
      </c>
      <c r="G187" s="5" t="b">
        <f aca="false">B187&gt;=calc_cohort!C$2</f>
        <v>0</v>
      </c>
      <c r="H187" s="0" t="n">
        <f aca="false">IF(G187,1,0)</f>
        <v>0</v>
      </c>
      <c r="I187" s="0" t="n">
        <f aca="false">calc_cohort!$B$2*constant!$B$1*F187*H187</f>
        <v>0</v>
      </c>
      <c r="J187" s="0" t="n">
        <f aca="false">INDEX(table_spot_rate!B$1:B$2000,MATCH(A187,table_spot_rate!A$1:A$2000,0))</f>
        <v>0.0566638979154958</v>
      </c>
      <c r="K187" s="0" t="n">
        <f aca="false">(1+J187)^(-A187*constant!$B$1)</f>
        <v>0.427536562852947</v>
      </c>
      <c r="L187" s="0" t="n">
        <f aca="false">K187*I187</f>
        <v>0</v>
      </c>
    </row>
    <row r="188" customFormat="false" ht="12.8" hidden="false" customHeight="false" outlineLevel="0" collapsed="false">
      <c r="A188" s="0" t="n">
        <v>186</v>
      </c>
      <c r="B188" s="0" t="n">
        <f aca="false">calc_cohort!D$2+constant!$B$1*A188</f>
        <v>46.7</v>
      </c>
      <c r="C188" s="0" t="n">
        <f aca="false">_xlfn.FLOOR.MATH(B188)</f>
        <v>46</v>
      </c>
      <c r="D188" s="4" t="n">
        <f aca="false">INDEX(table_mortality_rate!$A$1:$C$2000,MATCH(C188,table_mortality_rate!$A$1:$A$2000,0),MATCH(calc_cohort!$E$2,table_mortality_rate!A$1:C$1,0))</f>
        <v>0.001622</v>
      </c>
      <c r="E188" s="0" t="n">
        <f aca="false">(1-D188)^constant!$B$1</f>
        <v>0.999864732743927</v>
      </c>
      <c r="F188" s="0" t="n">
        <f aca="false">IF(A188=0,1,F187*E188)</f>
        <v>0.98560019808363</v>
      </c>
      <c r="G188" s="5" t="b">
        <f aca="false">B188&gt;=calc_cohort!C$2</f>
        <v>0</v>
      </c>
      <c r="H188" s="0" t="n">
        <f aca="false">IF(G188,1,0)</f>
        <v>0</v>
      </c>
      <c r="I188" s="0" t="n">
        <f aca="false">calc_cohort!$B$2*constant!$B$1*F188*H188</f>
        <v>0</v>
      </c>
      <c r="J188" s="0" t="n">
        <f aca="false">INDEX(table_spot_rate!B$1:B$2000,MATCH(A188,table_spot_rate!A$1:A$2000,0))</f>
        <v>0.0527426450891533</v>
      </c>
      <c r="K188" s="0" t="n">
        <f aca="false">(1+J188)^(-A188*constant!$B$1)</f>
        <v>0.450822572637757</v>
      </c>
      <c r="L188" s="0" t="n">
        <f aca="false">K188*I188</f>
        <v>0</v>
      </c>
    </row>
    <row r="189" customFormat="false" ht="12.8" hidden="false" customHeight="false" outlineLevel="0" collapsed="false">
      <c r="A189" s="0" t="n">
        <v>187</v>
      </c>
      <c r="B189" s="0" t="n">
        <f aca="false">calc_cohort!D$2+constant!$B$1*A189</f>
        <v>46.7833333333333</v>
      </c>
      <c r="C189" s="0" t="n">
        <f aca="false">_xlfn.FLOOR.MATH(B189)</f>
        <v>46</v>
      </c>
      <c r="D189" s="4" t="n">
        <f aca="false">INDEX(table_mortality_rate!$A$1:$C$2000,MATCH(C189,table_mortality_rate!$A$1:$A$2000,0),MATCH(calc_cohort!$E$2,table_mortality_rate!A$1:C$1,0))</f>
        <v>0.001622</v>
      </c>
      <c r="E189" s="0" t="n">
        <f aca="false">(1-D189)^constant!$B$1</f>
        <v>0.999864732743927</v>
      </c>
      <c r="F189" s="0" t="n">
        <f aca="false">IF(A189=0,1,F188*E189)</f>
        <v>0.98546687864925</v>
      </c>
      <c r="G189" s="5" t="b">
        <f aca="false">B189&gt;=calc_cohort!C$2</f>
        <v>0</v>
      </c>
      <c r="H189" s="0" t="n">
        <f aca="false">IF(G189,1,0)</f>
        <v>0</v>
      </c>
      <c r="I189" s="0" t="n">
        <f aca="false">calc_cohort!$B$2*constant!$B$1*F189*H189</f>
        <v>0</v>
      </c>
      <c r="J189" s="0" t="n">
        <f aca="false">INDEX(table_spot_rate!B$1:B$2000,MATCH(A189,table_spot_rate!A$1:A$2000,0))</f>
        <v>0.0571221909505217</v>
      </c>
      <c r="K189" s="0" t="n">
        <f aca="false">(1+J189)^(-A189*constant!$B$1)</f>
        <v>0.420774225469048</v>
      </c>
      <c r="L189" s="0" t="n">
        <f aca="false">K189*I189</f>
        <v>0</v>
      </c>
    </row>
    <row r="190" customFormat="false" ht="12.8" hidden="false" customHeight="false" outlineLevel="0" collapsed="false">
      <c r="A190" s="0" t="n">
        <v>188</v>
      </c>
      <c r="B190" s="0" t="n">
        <f aca="false">calc_cohort!D$2+constant!$B$1*A190</f>
        <v>46.8666666666667</v>
      </c>
      <c r="C190" s="0" t="n">
        <f aca="false">_xlfn.FLOOR.MATH(B190)</f>
        <v>46</v>
      </c>
      <c r="D190" s="4" t="n">
        <f aca="false">INDEX(table_mortality_rate!$A$1:$C$2000,MATCH(C190,table_mortality_rate!$A$1:$A$2000,0),MATCH(calc_cohort!$E$2,table_mortality_rate!A$1:C$1,0))</f>
        <v>0.001622</v>
      </c>
      <c r="E190" s="0" t="n">
        <f aca="false">(1-D190)^constant!$B$1</f>
        <v>0.999864732743927</v>
      </c>
      <c r="F190" s="0" t="n">
        <f aca="false">IF(A190=0,1,F189*E190)</f>
        <v>0.985333577248624</v>
      </c>
      <c r="G190" s="5" t="b">
        <f aca="false">B190&gt;=calc_cohort!C$2</f>
        <v>0</v>
      </c>
      <c r="H190" s="0" t="n">
        <f aca="false">IF(G190,1,0)</f>
        <v>0</v>
      </c>
      <c r="I190" s="0" t="n">
        <f aca="false">calc_cohort!$B$2*constant!$B$1*F190*H190</f>
        <v>0</v>
      </c>
      <c r="J190" s="0" t="n">
        <f aca="false">INDEX(table_spot_rate!B$1:B$2000,MATCH(A190,table_spot_rate!A$1:A$2000,0))</f>
        <v>0.0505027985192539</v>
      </c>
      <c r="K190" s="0" t="n">
        <f aca="false">(1+J190)^(-A190*constant!$B$1)</f>
        <v>0.462143645067407</v>
      </c>
      <c r="L190" s="0" t="n">
        <f aca="false">K190*I190</f>
        <v>0</v>
      </c>
    </row>
    <row r="191" customFormat="false" ht="12.8" hidden="false" customHeight="false" outlineLevel="0" collapsed="false">
      <c r="A191" s="0" t="n">
        <v>189</v>
      </c>
      <c r="B191" s="0" t="n">
        <f aca="false">calc_cohort!D$2+constant!$B$1*A191</f>
        <v>46.95</v>
      </c>
      <c r="C191" s="0" t="n">
        <f aca="false">_xlfn.FLOOR.MATH(B191)</f>
        <v>46</v>
      </c>
      <c r="D191" s="4" t="n">
        <f aca="false">INDEX(table_mortality_rate!$A$1:$C$2000,MATCH(C191,table_mortality_rate!$A$1:$A$2000,0),MATCH(calc_cohort!$E$2,table_mortality_rate!A$1:C$1,0))</f>
        <v>0.001622</v>
      </c>
      <c r="E191" s="0" t="n">
        <f aca="false">(1-D191)^constant!$B$1</f>
        <v>0.999864732743927</v>
      </c>
      <c r="F191" s="0" t="n">
        <f aca="false">IF(A191=0,1,F190*E191)</f>
        <v>0.985200293879312</v>
      </c>
      <c r="G191" s="5" t="b">
        <f aca="false">B191&gt;=calc_cohort!C$2</f>
        <v>0</v>
      </c>
      <c r="H191" s="0" t="n">
        <f aca="false">IF(G191,1,0)</f>
        <v>0</v>
      </c>
      <c r="I191" s="0" t="n">
        <f aca="false">calc_cohort!$B$2*constant!$B$1*F191*H191</f>
        <v>0</v>
      </c>
      <c r="J191" s="0" t="n">
        <f aca="false">INDEX(table_spot_rate!B$1:B$2000,MATCH(A191,table_spot_rate!A$1:A$2000,0))</f>
        <v>0.0546414412919414</v>
      </c>
      <c r="K191" s="0" t="n">
        <f aca="false">(1+J191)^(-A191*constant!$B$1)</f>
        <v>0.432612323587342</v>
      </c>
      <c r="L191" s="0" t="n">
        <f aca="false">K191*I191</f>
        <v>0</v>
      </c>
    </row>
    <row r="192" customFormat="false" ht="12.8" hidden="false" customHeight="false" outlineLevel="0" collapsed="false">
      <c r="A192" s="0" t="n">
        <v>190</v>
      </c>
      <c r="B192" s="0" t="n">
        <f aca="false">calc_cohort!D$2+constant!$B$1*A192</f>
        <v>47.0333333333333</v>
      </c>
      <c r="C192" s="0" t="n">
        <f aca="false">_xlfn.FLOOR.MATH(B192)</f>
        <v>47</v>
      </c>
      <c r="D192" s="4" t="n">
        <f aca="false">INDEX(table_mortality_rate!$A$1:$C$2000,MATCH(C192,table_mortality_rate!$A$1:$A$2000,0),MATCH(calc_cohort!$E$2,table_mortality_rate!A$1:C$1,0))</f>
        <v>0.001802</v>
      </c>
      <c r="E192" s="0" t="n">
        <f aca="false">(1-D192)^constant!$B$1</f>
        <v>0.999849709165205</v>
      </c>
      <c r="F192" s="0" t="n">
        <f aca="false">IF(A192=0,1,F191*E192)</f>
        <v>0.985052227304705</v>
      </c>
      <c r="G192" s="5" t="b">
        <f aca="false">B192&gt;=calc_cohort!C$2</f>
        <v>0</v>
      </c>
      <c r="H192" s="0" t="n">
        <f aca="false">IF(G192,1,0)</f>
        <v>0</v>
      </c>
      <c r="I192" s="0" t="n">
        <f aca="false">calc_cohort!$B$2*constant!$B$1*F192*H192</f>
        <v>0</v>
      </c>
      <c r="J192" s="0" t="n">
        <f aca="false">INDEX(table_spot_rate!B$1:B$2000,MATCH(A192,table_spot_rate!A$1:A$2000,0))</f>
        <v>0.0569713692354877</v>
      </c>
      <c r="K192" s="0" t="n">
        <f aca="false">(1+J192)^(-A192*constant!$B$1)</f>
        <v>0.415909615816291</v>
      </c>
      <c r="L192" s="0" t="n">
        <f aca="false">K192*I192</f>
        <v>0</v>
      </c>
    </row>
    <row r="193" customFormat="false" ht="12.8" hidden="false" customHeight="false" outlineLevel="0" collapsed="false">
      <c r="A193" s="0" t="n">
        <v>191</v>
      </c>
      <c r="B193" s="0" t="n">
        <f aca="false">calc_cohort!D$2+constant!$B$1*A193</f>
        <v>47.1166666666667</v>
      </c>
      <c r="C193" s="0" t="n">
        <f aca="false">_xlfn.FLOOR.MATH(B193)</f>
        <v>47</v>
      </c>
      <c r="D193" s="4" t="n">
        <f aca="false">INDEX(table_mortality_rate!$A$1:$C$2000,MATCH(C193,table_mortality_rate!$A$1:$A$2000,0),MATCH(calc_cohort!$E$2,table_mortality_rate!A$1:C$1,0))</f>
        <v>0.001802</v>
      </c>
      <c r="E193" s="0" t="n">
        <f aca="false">(1-D193)^constant!$B$1</f>
        <v>0.999849709165205</v>
      </c>
      <c r="F193" s="0" t="n">
        <f aca="false">IF(A193=0,1,F192*E193)</f>
        <v>0.984904182983147</v>
      </c>
      <c r="G193" s="5" t="b">
        <f aca="false">B193&gt;=calc_cohort!C$2</f>
        <v>0</v>
      </c>
      <c r="H193" s="0" t="n">
        <f aca="false">IF(G193,1,0)</f>
        <v>0</v>
      </c>
      <c r="I193" s="0" t="n">
        <f aca="false">calc_cohort!$B$2*constant!$B$1*F193*H193</f>
        <v>0</v>
      </c>
      <c r="J193" s="0" t="n">
        <f aca="false">INDEX(table_spot_rate!B$1:B$2000,MATCH(A193,table_spot_rate!A$1:A$2000,0))</f>
        <v>0.0571756160094856</v>
      </c>
      <c r="K193" s="0" t="n">
        <f aca="false">(1+J193)^(-A193*constant!$B$1)</f>
        <v>0.412722420448966</v>
      </c>
      <c r="L193" s="0" t="n">
        <f aca="false">K193*I193</f>
        <v>0</v>
      </c>
    </row>
    <row r="194" customFormat="false" ht="12.8" hidden="false" customHeight="false" outlineLevel="0" collapsed="false">
      <c r="A194" s="0" t="n">
        <v>192</v>
      </c>
      <c r="B194" s="0" t="n">
        <f aca="false">calc_cohort!D$2+constant!$B$1*A194</f>
        <v>47.2</v>
      </c>
      <c r="C194" s="0" t="n">
        <f aca="false">_xlfn.FLOOR.MATH(B194)</f>
        <v>47</v>
      </c>
      <c r="D194" s="4" t="n">
        <f aca="false">INDEX(table_mortality_rate!$A$1:$C$2000,MATCH(C194,table_mortality_rate!$A$1:$A$2000,0),MATCH(calc_cohort!$E$2,table_mortality_rate!A$1:C$1,0))</f>
        <v>0.001802</v>
      </c>
      <c r="E194" s="0" t="n">
        <f aca="false">(1-D194)^constant!$B$1</f>
        <v>0.999849709165205</v>
      </c>
      <c r="F194" s="0" t="n">
        <f aca="false">IF(A194=0,1,F193*E194)</f>
        <v>0.984756160911294</v>
      </c>
      <c r="G194" s="5" t="b">
        <f aca="false">B194&gt;=calc_cohort!C$2</f>
        <v>0</v>
      </c>
      <c r="H194" s="0" t="n">
        <f aca="false">IF(G194,1,0)</f>
        <v>0</v>
      </c>
      <c r="I194" s="0" t="n">
        <f aca="false">calc_cohort!$B$2*constant!$B$1*F194*H194</f>
        <v>0</v>
      </c>
      <c r="J194" s="0" t="n">
        <f aca="false">INDEX(table_spot_rate!B$1:B$2000,MATCH(A194,table_spot_rate!A$1:A$2000,0))</f>
        <v>0.0589276492146267</v>
      </c>
      <c r="K194" s="0" t="n">
        <f aca="false">(1+J194)^(-A194*constant!$B$1)</f>
        <v>0.400073135436676</v>
      </c>
      <c r="L194" s="0" t="n">
        <f aca="false">K194*I194</f>
        <v>0</v>
      </c>
    </row>
    <row r="195" customFormat="false" ht="12.8" hidden="false" customHeight="false" outlineLevel="0" collapsed="false">
      <c r="A195" s="0" t="n">
        <v>193</v>
      </c>
      <c r="B195" s="0" t="n">
        <f aca="false">calc_cohort!D$2+constant!$B$1*A195</f>
        <v>47.2833333333333</v>
      </c>
      <c r="C195" s="0" t="n">
        <f aca="false">_xlfn.FLOOR.MATH(B195)</f>
        <v>47</v>
      </c>
      <c r="D195" s="4" t="n">
        <f aca="false">INDEX(table_mortality_rate!$A$1:$C$2000,MATCH(C195,table_mortality_rate!$A$1:$A$2000,0),MATCH(calc_cohort!$E$2,table_mortality_rate!A$1:C$1,0))</f>
        <v>0.001802</v>
      </c>
      <c r="E195" s="0" t="n">
        <f aca="false">(1-D195)^constant!$B$1</f>
        <v>0.999849709165205</v>
      </c>
      <c r="F195" s="0" t="n">
        <f aca="false">IF(A195=0,1,F194*E195)</f>
        <v>0.984608161085801</v>
      </c>
      <c r="G195" s="5" t="b">
        <f aca="false">B195&gt;=calc_cohort!C$2</f>
        <v>0</v>
      </c>
      <c r="H195" s="0" t="n">
        <f aca="false">IF(G195,1,0)</f>
        <v>0</v>
      </c>
      <c r="I195" s="0" t="n">
        <f aca="false">calc_cohort!$B$2*constant!$B$1*F195*H195</f>
        <v>0</v>
      </c>
      <c r="J195" s="0" t="n">
        <f aca="false">INDEX(table_spot_rate!B$1:B$2000,MATCH(A195,table_spot_rate!A$1:A$2000,0))</f>
        <v>0.059337980024867</v>
      </c>
      <c r="K195" s="0" t="n">
        <f aca="false">(1+J195)^(-A195*constant!$B$1)</f>
        <v>0.395695487555066</v>
      </c>
      <c r="L195" s="0" t="n">
        <f aca="false">K195*I195</f>
        <v>0</v>
      </c>
    </row>
    <row r="196" customFormat="false" ht="12.8" hidden="false" customHeight="false" outlineLevel="0" collapsed="false">
      <c r="A196" s="0" t="n">
        <v>194</v>
      </c>
      <c r="B196" s="0" t="n">
        <f aca="false">calc_cohort!D$2+constant!$B$1*A196</f>
        <v>47.3666666666667</v>
      </c>
      <c r="C196" s="0" t="n">
        <f aca="false">_xlfn.FLOOR.MATH(B196)</f>
        <v>47</v>
      </c>
      <c r="D196" s="4" t="n">
        <f aca="false">INDEX(table_mortality_rate!$A$1:$C$2000,MATCH(C196,table_mortality_rate!$A$1:$A$2000,0),MATCH(calc_cohort!$E$2,table_mortality_rate!A$1:C$1,0))</f>
        <v>0.001802</v>
      </c>
      <c r="E196" s="0" t="n">
        <f aca="false">(1-D196)^constant!$B$1</f>
        <v>0.999849709165205</v>
      </c>
      <c r="F196" s="0" t="n">
        <f aca="false">IF(A196=0,1,F195*E196)</f>
        <v>0.984460183503326</v>
      </c>
      <c r="G196" s="5" t="b">
        <f aca="false">B196&gt;=calc_cohort!C$2</f>
        <v>0</v>
      </c>
      <c r="H196" s="0" t="n">
        <f aca="false">IF(G196,1,0)</f>
        <v>0</v>
      </c>
      <c r="I196" s="0" t="n">
        <f aca="false">calc_cohort!$B$2*constant!$B$1*F196*H196</f>
        <v>0</v>
      </c>
      <c r="J196" s="0" t="n">
        <f aca="false">INDEX(table_spot_rate!B$1:B$2000,MATCH(A196,table_spot_rate!A$1:A$2000,0))</f>
        <v>0.0576763537051184</v>
      </c>
      <c r="K196" s="0" t="n">
        <f aca="false">(1+J196)^(-A196*constant!$B$1)</f>
        <v>0.40392104441285</v>
      </c>
      <c r="L196" s="0" t="n">
        <f aca="false">K196*I196</f>
        <v>0</v>
      </c>
    </row>
    <row r="197" customFormat="false" ht="12.8" hidden="false" customHeight="false" outlineLevel="0" collapsed="false">
      <c r="A197" s="0" t="n">
        <v>195</v>
      </c>
      <c r="B197" s="0" t="n">
        <f aca="false">calc_cohort!D$2+constant!$B$1*A197</f>
        <v>47.45</v>
      </c>
      <c r="C197" s="0" t="n">
        <f aca="false">_xlfn.FLOOR.MATH(B197)</f>
        <v>47</v>
      </c>
      <c r="D197" s="4" t="n">
        <f aca="false">INDEX(table_mortality_rate!$A$1:$C$2000,MATCH(C197,table_mortality_rate!$A$1:$A$2000,0),MATCH(calc_cohort!$E$2,table_mortality_rate!A$1:C$1,0))</f>
        <v>0.001802</v>
      </c>
      <c r="E197" s="0" t="n">
        <f aca="false">(1-D197)^constant!$B$1</f>
        <v>0.999849709165205</v>
      </c>
      <c r="F197" s="0" t="n">
        <f aca="false">IF(A197=0,1,F196*E197)</f>
        <v>0.984312228160525</v>
      </c>
      <c r="G197" s="5" t="b">
        <f aca="false">B197&gt;=calc_cohort!C$2</f>
        <v>0</v>
      </c>
      <c r="H197" s="0" t="n">
        <f aca="false">IF(G197,1,0)</f>
        <v>0</v>
      </c>
      <c r="I197" s="0" t="n">
        <f aca="false">calc_cohort!$B$2*constant!$B$1*F197*H197</f>
        <v>0</v>
      </c>
      <c r="J197" s="0" t="n">
        <f aca="false">INDEX(table_spot_rate!B$1:B$2000,MATCH(A197,table_spot_rate!A$1:A$2000,0))</f>
        <v>0.0573361805306832</v>
      </c>
      <c r="K197" s="0" t="n">
        <f aca="false">(1+J197)^(-A197*constant!$B$1)</f>
        <v>0.404145020602479</v>
      </c>
      <c r="L197" s="0" t="n">
        <f aca="false">K197*I197</f>
        <v>0</v>
      </c>
    </row>
    <row r="198" customFormat="false" ht="12.8" hidden="false" customHeight="false" outlineLevel="0" collapsed="false">
      <c r="A198" s="0" t="n">
        <v>196</v>
      </c>
      <c r="B198" s="0" t="n">
        <f aca="false">calc_cohort!D$2+constant!$B$1*A198</f>
        <v>47.5333333333333</v>
      </c>
      <c r="C198" s="0" t="n">
        <f aca="false">_xlfn.FLOOR.MATH(B198)</f>
        <v>47</v>
      </c>
      <c r="D198" s="4" t="n">
        <f aca="false">INDEX(table_mortality_rate!$A$1:$C$2000,MATCH(C198,table_mortality_rate!$A$1:$A$2000,0),MATCH(calc_cohort!$E$2,table_mortality_rate!A$1:C$1,0))</f>
        <v>0.001802</v>
      </c>
      <c r="E198" s="0" t="n">
        <f aca="false">(1-D198)^constant!$B$1</f>
        <v>0.999849709165205</v>
      </c>
      <c r="F198" s="0" t="n">
        <f aca="false">IF(A198=0,1,F197*E198)</f>
        <v>0.984164295054056</v>
      </c>
      <c r="G198" s="5" t="b">
        <f aca="false">B198&gt;=calc_cohort!C$2</f>
        <v>0</v>
      </c>
      <c r="H198" s="0" t="n">
        <f aca="false">IF(G198,1,0)</f>
        <v>0</v>
      </c>
      <c r="I198" s="0" t="n">
        <f aca="false">calc_cohort!$B$2*constant!$B$1*F198*H198</f>
        <v>0</v>
      </c>
      <c r="J198" s="0" t="n">
        <f aca="false">INDEX(table_spot_rate!B$1:B$2000,MATCH(A198,table_spot_rate!A$1:A$2000,0))</f>
        <v>0.0519550893320884</v>
      </c>
      <c r="K198" s="0" t="n">
        <f aca="false">(1+J198)^(-A198*constant!$B$1)</f>
        <v>0.437232479035454</v>
      </c>
      <c r="L198" s="0" t="n">
        <f aca="false">K198*I198</f>
        <v>0</v>
      </c>
    </row>
    <row r="199" customFormat="false" ht="12.8" hidden="false" customHeight="false" outlineLevel="0" collapsed="false">
      <c r="A199" s="0" t="n">
        <v>197</v>
      </c>
      <c r="B199" s="0" t="n">
        <f aca="false">calc_cohort!D$2+constant!$B$1*A199</f>
        <v>47.6166666666667</v>
      </c>
      <c r="C199" s="0" t="n">
        <f aca="false">_xlfn.FLOOR.MATH(B199)</f>
        <v>47</v>
      </c>
      <c r="D199" s="4" t="n">
        <f aca="false">INDEX(table_mortality_rate!$A$1:$C$2000,MATCH(C199,table_mortality_rate!$A$1:$A$2000,0),MATCH(calc_cohort!$E$2,table_mortality_rate!A$1:C$1,0))</f>
        <v>0.001802</v>
      </c>
      <c r="E199" s="0" t="n">
        <f aca="false">(1-D199)^constant!$B$1</f>
        <v>0.999849709165205</v>
      </c>
      <c r="F199" s="0" t="n">
        <f aca="false">IF(A199=0,1,F198*E199)</f>
        <v>0.984016384180578</v>
      </c>
      <c r="G199" s="5" t="b">
        <f aca="false">B199&gt;=calc_cohort!C$2</f>
        <v>0</v>
      </c>
      <c r="H199" s="0" t="n">
        <f aca="false">IF(G199,1,0)</f>
        <v>0</v>
      </c>
      <c r="I199" s="0" t="n">
        <f aca="false">calc_cohort!$B$2*constant!$B$1*F199*H199</f>
        <v>0</v>
      </c>
      <c r="J199" s="0" t="n">
        <f aca="false">INDEX(table_spot_rate!B$1:B$2000,MATCH(A199,table_spot_rate!A$1:A$2000,0))</f>
        <v>0.0580164371652156</v>
      </c>
      <c r="K199" s="0" t="n">
        <f aca="false">(1+J199)^(-A199*constant!$B$1)</f>
        <v>0.396201567208389</v>
      </c>
      <c r="L199" s="0" t="n">
        <f aca="false">K199*I199</f>
        <v>0</v>
      </c>
    </row>
    <row r="200" customFormat="false" ht="12.8" hidden="false" customHeight="false" outlineLevel="0" collapsed="false">
      <c r="A200" s="0" t="n">
        <v>198</v>
      </c>
      <c r="B200" s="0" t="n">
        <f aca="false">calc_cohort!D$2+constant!$B$1*A200</f>
        <v>47.7</v>
      </c>
      <c r="C200" s="0" t="n">
        <f aca="false">_xlfn.FLOOR.MATH(B200)</f>
        <v>47</v>
      </c>
      <c r="D200" s="4" t="n">
        <f aca="false">INDEX(table_mortality_rate!$A$1:$C$2000,MATCH(C200,table_mortality_rate!$A$1:$A$2000,0),MATCH(calc_cohort!$E$2,table_mortality_rate!A$1:C$1,0))</f>
        <v>0.001802</v>
      </c>
      <c r="E200" s="0" t="n">
        <f aca="false">(1-D200)^constant!$B$1</f>
        <v>0.999849709165205</v>
      </c>
      <c r="F200" s="0" t="n">
        <f aca="false">IF(A200=0,1,F199*E200)</f>
        <v>0.983868495536748</v>
      </c>
      <c r="G200" s="5" t="b">
        <f aca="false">B200&gt;=calc_cohort!C$2</f>
        <v>0</v>
      </c>
      <c r="H200" s="0" t="n">
        <f aca="false">IF(G200,1,0)</f>
        <v>0</v>
      </c>
      <c r="I200" s="0" t="n">
        <f aca="false">calc_cohort!$B$2*constant!$B$1*F200*H200</f>
        <v>0</v>
      </c>
      <c r="J200" s="0" t="n">
        <f aca="false">INDEX(table_spot_rate!B$1:B$2000,MATCH(A200,table_spot_rate!A$1:A$2000,0))</f>
        <v>0.0561010323623281</v>
      </c>
      <c r="K200" s="0" t="n">
        <f aca="false">(1+J200)^(-A200*constant!$B$1)</f>
        <v>0.406312133783201</v>
      </c>
      <c r="L200" s="0" t="n">
        <f aca="false">K200*I200</f>
        <v>0</v>
      </c>
    </row>
    <row r="201" customFormat="false" ht="12.8" hidden="false" customHeight="false" outlineLevel="0" collapsed="false">
      <c r="A201" s="0" t="n">
        <v>199</v>
      </c>
      <c r="B201" s="0" t="n">
        <f aca="false">calc_cohort!D$2+constant!$B$1*A201</f>
        <v>47.7833333333333</v>
      </c>
      <c r="C201" s="0" t="n">
        <f aca="false">_xlfn.FLOOR.MATH(B201)</f>
        <v>47</v>
      </c>
      <c r="D201" s="4" t="n">
        <f aca="false">INDEX(table_mortality_rate!$A$1:$C$2000,MATCH(C201,table_mortality_rate!$A$1:$A$2000,0),MATCH(calc_cohort!$E$2,table_mortality_rate!A$1:C$1,0))</f>
        <v>0.001802</v>
      </c>
      <c r="E201" s="0" t="n">
        <f aca="false">(1-D201)^constant!$B$1</f>
        <v>0.999849709165205</v>
      </c>
      <c r="F201" s="0" t="n">
        <f aca="false">IF(A201=0,1,F200*E201)</f>
        <v>0.983720629119225</v>
      </c>
      <c r="G201" s="5" t="b">
        <f aca="false">B201&gt;=calc_cohort!C$2</f>
        <v>0</v>
      </c>
      <c r="H201" s="0" t="n">
        <f aca="false">IF(G201,1,0)</f>
        <v>0</v>
      </c>
      <c r="I201" s="0" t="n">
        <f aca="false">calc_cohort!$B$2*constant!$B$1*F201*H201</f>
        <v>0</v>
      </c>
      <c r="J201" s="0" t="n">
        <f aca="false">INDEX(table_spot_rate!B$1:B$2000,MATCH(A201,table_spot_rate!A$1:A$2000,0))</f>
        <v>0.0556933112677468</v>
      </c>
      <c r="K201" s="0" t="n">
        <f aca="false">(1+J201)^(-A201*constant!$B$1)</f>
        <v>0.407066455205563</v>
      </c>
      <c r="L201" s="0" t="n">
        <f aca="false">K201*I201</f>
        <v>0</v>
      </c>
    </row>
    <row r="202" customFormat="false" ht="12.8" hidden="false" customHeight="false" outlineLevel="0" collapsed="false">
      <c r="A202" s="0" t="n">
        <v>200</v>
      </c>
      <c r="B202" s="0" t="n">
        <f aca="false">calc_cohort!D$2+constant!$B$1*A202</f>
        <v>47.8666666666667</v>
      </c>
      <c r="C202" s="0" t="n">
        <f aca="false">_xlfn.FLOOR.MATH(B202)</f>
        <v>47</v>
      </c>
      <c r="D202" s="4" t="n">
        <f aca="false">INDEX(table_mortality_rate!$A$1:$C$2000,MATCH(C202,table_mortality_rate!$A$1:$A$2000,0),MATCH(calc_cohort!$E$2,table_mortality_rate!A$1:C$1,0))</f>
        <v>0.001802</v>
      </c>
      <c r="E202" s="0" t="n">
        <f aca="false">(1-D202)^constant!$B$1</f>
        <v>0.999849709165205</v>
      </c>
      <c r="F202" s="0" t="n">
        <f aca="false">IF(A202=0,1,F201*E202)</f>
        <v>0.98357278492467</v>
      </c>
      <c r="G202" s="5" t="b">
        <f aca="false">B202&gt;=calc_cohort!C$2</f>
        <v>0</v>
      </c>
      <c r="H202" s="0" t="n">
        <f aca="false">IF(G202,1,0)</f>
        <v>0</v>
      </c>
      <c r="I202" s="0" t="n">
        <f aca="false">calc_cohort!$B$2*constant!$B$1*F202*H202</f>
        <v>0</v>
      </c>
      <c r="J202" s="0" t="n">
        <f aca="false">INDEX(table_spot_rate!B$1:B$2000,MATCH(A202,table_spot_rate!A$1:A$2000,0))</f>
        <v>0.0553623965011312</v>
      </c>
      <c r="K202" s="0" t="n">
        <f aca="false">(1+J202)^(-A202*constant!$B$1)</f>
        <v>0.407355017203873</v>
      </c>
      <c r="L202" s="0" t="n">
        <f aca="false">K202*I202</f>
        <v>0</v>
      </c>
    </row>
    <row r="203" customFormat="false" ht="12.8" hidden="false" customHeight="false" outlineLevel="0" collapsed="false">
      <c r="A203" s="0" t="n">
        <v>201</v>
      </c>
      <c r="B203" s="0" t="n">
        <f aca="false">calc_cohort!D$2+constant!$B$1*A203</f>
        <v>47.95</v>
      </c>
      <c r="C203" s="0" t="n">
        <f aca="false">_xlfn.FLOOR.MATH(B203)</f>
        <v>47</v>
      </c>
      <c r="D203" s="4" t="n">
        <f aca="false">INDEX(table_mortality_rate!$A$1:$C$2000,MATCH(C203,table_mortality_rate!$A$1:$A$2000,0),MATCH(calc_cohort!$E$2,table_mortality_rate!A$1:C$1,0))</f>
        <v>0.001802</v>
      </c>
      <c r="E203" s="0" t="n">
        <f aca="false">(1-D203)^constant!$B$1</f>
        <v>0.999849709165205</v>
      </c>
      <c r="F203" s="0" t="n">
        <f aca="false">IF(A203=0,1,F202*E203)</f>
        <v>0.983424962949743</v>
      </c>
      <c r="G203" s="5" t="b">
        <f aca="false">B203&gt;=calc_cohort!C$2</f>
        <v>0</v>
      </c>
      <c r="H203" s="0" t="n">
        <f aca="false">IF(G203,1,0)</f>
        <v>0</v>
      </c>
      <c r="I203" s="0" t="n">
        <f aca="false">calc_cohort!$B$2*constant!$B$1*F203*H203</f>
        <v>0</v>
      </c>
      <c r="J203" s="0" t="n">
        <f aca="false">INDEX(table_spot_rate!B$1:B$2000,MATCH(A203,table_spot_rate!A$1:A$2000,0))</f>
        <v>0.0515035232438222</v>
      </c>
      <c r="K203" s="0" t="n">
        <f aca="false">(1+J203)^(-A203*constant!$B$1)</f>
        <v>0.43119154418212</v>
      </c>
      <c r="L203" s="0" t="n">
        <f aca="false">K203*I203</f>
        <v>0</v>
      </c>
    </row>
    <row r="204" customFormat="false" ht="12.8" hidden="false" customHeight="false" outlineLevel="0" collapsed="false">
      <c r="A204" s="0" t="n">
        <v>202</v>
      </c>
      <c r="B204" s="0" t="n">
        <f aca="false">calc_cohort!D$2+constant!$B$1*A204</f>
        <v>48.0333333333333</v>
      </c>
      <c r="C204" s="0" t="n">
        <f aca="false">_xlfn.FLOOR.MATH(B204)</f>
        <v>48</v>
      </c>
      <c r="D204" s="4" t="n">
        <f aca="false">INDEX(table_mortality_rate!$A$1:$C$2000,MATCH(C204,table_mortality_rate!$A$1:$A$2000,0),MATCH(calc_cohort!$E$2,table_mortality_rate!A$1:C$1,0))</f>
        <v>0.002008</v>
      </c>
      <c r="E204" s="0" t="n">
        <f aca="false">(1-D204)^constant!$B$1</f>
        <v>0.999832512466365</v>
      </c>
      <c r="F204" s="0" t="n">
        <f aca="false">IF(A204=0,1,F203*E204)</f>
        <v>0.983260251528182</v>
      </c>
      <c r="G204" s="5" t="b">
        <f aca="false">B204&gt;=calc_cohort!C$2</f>
        <v>0</v>
      </c>
      <c r="H204" s="0" t="n">
        <f aca="false">IF(G204,1,0)</f>
        <v>0</v>
      </c>
      <c r="I204" s="0" t="n">
        <f aca="false">calc_cohort!$B$2*constant!$B$1*F204*H204</f>
        <v>0</v>
      </c>
      <c r="J204" s="0" t="n">
        <f aca="false">INDEX(table_spot_rate!B$1:B$2000,MATCH(A204,table_spot_rate!A$1:A$2000,0))</f>
        <v>0.0598561191227369</v>
      </c>
      <c r="K204" s="0" t="n">
        <f aca="false">(1+J204)^(-A204*constant!$B$1)</f>
        <v>0.375846336889293</v>
      </c>
      <c r="L204" s="0" t="n">
        <f aca="false">K204*I204</f>
        <v>0</v>
      </c>
    </row>
    <row r="205" customFormat="false" ht="12.8" hidden="false" customHeight="false" outlineLevel="0" collapsed="false">
      <c r="A205" s="0" t="n">
        <v>203</v>
      </c>
      <c r="B205" s="0" t="n">
        <f aca="false">calc_cohort!D$2+constant!$B$1*A205</f>
        <v>48.1166666666667</v>
      </c>
      <c r="C205" s="0" t="n">
        <f aca="false">_xlfn.FLOOR.MATH(B205)</f>
        <v>48</v>
      </c>
      <c r="D205" s="4" t="n">
        <f aca="false">INDEX(table_mortality_rate!$A$1:$C$2000,MATCH(C205,table_mortality_rate!$A$1:$A$2000,0),MATCH(calc_cohort!$E$2,table_mortality_rate!A$1:C$1,0))</f>
        <v>0.002008</v>
      </c>
      <c r="E205" s="0" t="n">
        <f aca="false">(1-D205)^constant!$B$1</f>
        <v>0.999832512466365</v>
      </c>
      <c r="F205" s="0" t="n">
        <f aca="false">IF(A205=0,1,F204*E205)</f>
        <v>0.983095567693732</v>
      </c>
      <c r="G205" s="5" t="b">
        <f aca="false">B205&gt;=calc_cohort!C$2</f>
        <v>0</v>
      </c>
      <c r="H205" s="0" t="n">
        <f aca="false">IF(G205,1,0)</f>
        <v>0</v>
      </c>
      <c r="I205" s="0" t="n">
        <f aca="false">calc_cohort!$B$2*constant!$B$1*F205*H205</f>
        <v>0</v>
      </c>
      <c r="J205" s="0" t="n">
        <f aca="false">INDEX(table_spot_rate!B$1:B$2000,MATCH(A205,table_spot_rate!A$1:A$2000,0))</f>
        <v>0.0540970454758245</v>
      </c>
      <c r="K205" s="0" t="n">
        <f aca="false">(1+J205)^(-A205*constant!$B$1)</f>
        <v>0.410144208545535</v>
      </c>
      <c r="L205" s="0" t="n">
        <f aca="false">K205*I205</f>
        <v>0</v>
      </c>
    </row>
    <row r="206" customFormat="false" ht="12.8" hidden="false" customHeight="false" outlineLevel="0" collapsed="false">
      <c r="A206" s="0" t="n">
        <v>204</v>
      </c>
      <c r="B206" s="0" t="n">
        <f aca="false">calc_cohort!D$2+constant!$B$1*A206</f>
        <v>48.2</v>
      </c>
      <c r="C206" s="0" t="n">
        <f aca="false">_xlfn.FLOOR.MATH(B206)</f>
        <v>48</v>
      </c>
      <c r="D206" s="4" t="n">
        <f aca="false">INDEX(table_mortality_rate!$A$1:$C$2000,MATCH(C206,table_mortality_rate!$A$1:$A$2000,0),MATCH(calc_cohort!$E$2,table_mortality_rate!A$1:C$1,0))</f>
        <v>0.002008</v>
      </c>
      <c r="E206" s="0" t="n">
        <f aca="false">(1-D206)^constant!$B$1</f>
        <v>0.999832512466365</v>
      </c>
      <c r="F206" s="0" t="n">
        <f aca="false">IF(A206=0,1,F205*E206)</f>
        <v>0.982930911441771</v>
      </c>
      <c r="G206" s="5" t="b">
        <f aca="false">B206&gt;=calc_cohort!C$2</f>
        <v>0</v>
      </c>
      <c r="H206" s="0" t="n">
        <f aca="false">IF(G206,1,0)</f>
        <v>0</v>
      </c>
      <c r="I206" s="0" t="n">
        <f aca="false">calc_cohort!$B$2*constant!$B$1*F206*H206</f>
        <v>0</v>
      </c>
      <c r="J206" s="0" t="n">
        <f aca="false">INDEX(table_spot_rate!B$1:B$2000,MATCH(A206,table_spot_rate!A$1:A$2000,0))</f>
        <v>0.0552566727718431</v>
      </c>
      <c r="K206" s="0" t="n">
        <f aca="false">(1+J206)^(-A206*constant!$B$1)</f>
        <v>0.400785665692037</v>
      </c>
      <c r="L206" s="0" t="n">
        <f aca="false">K206*I206</f>
        <v>0</v>
      </c>
    </row>
    <row r="207" customFormat="false" ht="12.8" hidden="false" customHeight="false" outlineLevel="0" collapsed="false">
      <c r="A207" s="0" t="n">
        <v>205</v>
      </c>
      <c r="B207" s="0" t="n">
        <f aca="false">calc_cohort!D$2+constant!$B$1*A207</f>
        <v>48.2833333333333</v>
      </c>
      <c r="C207" s="0" t="n">
        <f aca="false">_xlfn.FLOOR.MATH(B207)</f>
        <v>48</v>
      </c>
      <c r="D207" s="4" t="n">
        <f aca="false">INDEX(table_mortality_rate!$A$1:$C$2000,MATCH(C207,table_mortality_rate!$A$1:$A$2000,0),MATCH(calc_cohort!$E$2,table_mortality_rate!A$1:C$1,0))</f>
        <v>0.002008</v>
      </c>
      <c r="E207" s="0" t="n">
        <f aca="false">(1-D207)^constant!$B$1</f>
        <v>0.999832512466365</v>
      </c>
      <c r="F207" s="0" t="n">
        <f aca="false">IF(A207=0,1,F206*E207)</f>
        <v>0.98276628276768</v>
      </c>
      <c r="G207" s="5" t="b">
        <f aca="false">B207&gt;=calc_cohort!C$2</f>
        <v>0</v>
      </c>
      <c r="H207" s="0" t="n">
        <f aca="false">IF(G207,1,0)</f>
        <v>0</v>
      </c>
      <c r="I207" s="0" t="n">
        <f aca="false">calc_cohort!$B$2*constant!$B$1*F207*H207</f>
        <v>0</v>
      </c>
      <c r="J207" s="0" t="n">
        <f aca="false">INDEX(table_spot_rate!B$1:B$2000,MATCH(A207,table_spot_rate!A$1:A$2000,0))</f>
        <v>0.0579411159062133</v>
      </c>
      <c r="K207" s="0" t="n">
        <f aca="false">(1+J207)^(-A207*constant!$B$1)</f>
        <v>0.382046399789408</v>
      </c>
      <c r="L207" s="0" t="n">
        <f aca="false">K207*I207</f>
        <v>0</v>
      </c>
    </row>
    <row r="208" customFormat="false" ht="12.8" hidden="false" customHeight="false" outlineLevel="0" collapsed="false">
      <c r="A208" s="0" t="n">
        <v>206</v>
      </c>
      <c r="B208" s="0" t="n">
        <f aca="false">calc_cohort!D$2+constant!$B$1*A208</f>
        <v>48.3666666666667</v>
      </c>
      <c r="C208" s="0" t="n">
        <f aca="false">_xlfn.FLOOR.MATH(B208)</f>
        <v>48</v>
      </c>
      <c r="D208" s="4" t="n">
        <f aca="false">INDEX(table_mortality_rate!$A$1:$C$2000,MATCH(C208,table_mortality_rate!$A$1:$A$2000,0),MATCH(calc_cohort!$E$2,table_mortality_rate!A$1:C$1,0))</f>
        <v>0.002008</v>
      </c>
      <c r="E208" s="0" t="n">
        <f aca="false">(1-D208)^constant!$B$1</f>
        <v>0.999832512466365</v>
      </c>
      <c r="F208" s="0" t="n">
        <f aca="false">IF(A208=0,1,F207*E208)</f>
        <v>0.982601681666839</v>
      </c>
      <c r="G208" s="5" t="b">
        <f aca="false">B208&gt;=calc_cohort!C$2</f>
        <v>0</v>
      </c>
      <c r="H208" s="0" t="n">
        <f aca="false">IF(G208,1,0)</f>
        <v>0</v>
      </c>
      <c r="I208" s="0" t="n">
        <f aca="false">calc_cohort!$B$2*constant!$B$1*F208*H208</f>
        <v>0</v>
      </c>
      <c r="J208" s="0" t="n">
        <f aca="false">INDEX(table_spot_rate!B$1:B$2000,MATCH(A208,table_spot_rate!A$1:A$2000,0))</f>
        <v>0.0561313352319545</v>
      </c>
      <c r="K208" s="0" t="n">
        <f aca="false">(1+J208)^(-A208*constant!$B$1)</f>
        <v>0.391599592886156</v>
      </c>
      <c r="L208" s="0" t="n">
        <f aca="false">K208*I208</f>
        <v>0</v>
      </c>
    </row>
    <row r="209" customFormat="false" ht="12.8" hidden="false" customHeight="false" outlineLevel="0" collapsed="false">
      <c r="A209" s="0" t="n">
        <v>207</v>
      </c>
      <c r="B209" s="0" t="n">
        <f aca="false">calc_cohort!D$2+constant!$B$1*A209</f>
        <v>48.45</v>
      </c>
      <c r="C209" s="0" t="n">
        <f aca="false">_xlfn.FLOOR.MATH(B209)</f>
        <v>48</v>
      </c>
      <c r="D209" s="4" t="n">
        <f aca="false">INDEX(table_mortality_rate!$A$1:$C$2000,MATCH(C209,table_mortality_rate!$A$1:$A$2000,0),MATCH(calc_cohort!$E$2,table_mortality_rate!A$1:C$1,0))</f>
        <v>0.002008</v>
      </c>
      <c r="E209" s="0" t="n">
        <f aca="false">(1-D209)^constant!$B$1</f>
        <v>0.999832512466365</v>
      </c>
      <c r="F209" s="0" t="n">
        <f aca="false">IF(A209=0,1,F208*E209)</f>
        <v>0.98243710813463</v>
      </c>
      <c r="G209" s="5" t="b">
        <f aca="false">B209&gt;=calc_cohort!C$2</f>
        <v>0</v>
      </c>
      <c r="H209" s="0" t="n">
        <f aca="false">IF(G209,1,0)</f>
        <v>0</v>
      </c>
      <c r="I209" s="0" t="n">
        <f aca="false">calc_cohort!$B$2*constant!$B$1*F209*H209</f>
        <v>0</v>
      </c>
      <c r="J209" s="0" t="n">
        <f aca="false">INDEX(table_spot_rate!B$1:B$2000,MATCH(A209,table_spot_rate!A$1:A$2000,0))</f>
        <v>0.0590960252332945</v>
      </c>
      <c r="K209" s="0" t="n">
        <f aca="false">(1+J209)^(-A209*constant!$B$1)</f>
        <v>0.371420112371216</v>
      </c>
      <c r="L209" s="0" t="n">
        <f aca="false">K209*I209</f>
        <v>0</v>
      </c>
    </row>
    <row r="210" customFormat="false" ht="12.8" hidden="false" customHeight="false" outlineLevel="0" collapsed="false">
      <c r="A210" s="0" t="n">
        <v>208</v>
      </c>
      <c r="B210" s="0" t="n">
        <f aca="false">calc_cohort!D$2+constant!$B$1*A210</f>
        <v>48.5333333333333</v>
      </c>
      <c r="C210" s="0" t="n">
        <f aca="false">_xlfn.FLOOR.MATH(B210)</f>
        <v>48</v>
      </c>
      <c r="D210" s="4" t="n">
        <f aca="false">INDEX(table_mortality_rate!$A$1:$C$2000,MATCH(C210,table_mortality_rate!$A$1:$A$2000,0),MATCH(calc_cohort!$E$2,table_mortality_rate!A$1:C$1,0))</f>
        <v>0.002008</v>
      </c>
      <c r="E210" s="0" t="n">
        <f aca="false">(1-D210)^constant!$B$1</f>
        <v>0.999832512466365</v>
      </c>
      <c r="F210" s="0" t="n">
        <f aca="false">IF(A210=0,1,F209*E210)</f>
        <v>0.982272562166437</v>
      </c>
      <c r="G210" s="5" t="b">
        <f aca="false">B210&gt;=calc_cohort!C$2</f>
        <v>0</v>
      </c>
      <c r="H210" s="0" t="n">
        <f aca="false">IF(G210,1,0)</f>
        <v>0</v>
      </c>
      <c r="I210" s="0" t="n">
        <f aca="false">calc_cohort!$B$2*constant!$B$1*F210*H210</f>
        <v>0</v>
      </c>
      <c r="J210" s="0" t="n">
        <f aca="false">INDEX(table_spot_rate!B$1:B$2000,MATCH(A210,table_spot_rate!A$1:A$2000,0))</f>
        <v>0.0507394498974619</v>
      </c>
      <c r="K210" s="0" t="n">
        <f aca="false">(1+J210)^(-A210*constant!$B$1)</f>
        <v>0.424052218425898</v>
      </c>
      <c r="L210" s="0" t="n">
        <f aca="false">K210*I210</f>
        <v>0</v>
      </c>
    </row>
    <row r="211" customFormat="false" ht="12.8" hidden="false" customHeight="false" outlineLevel="0" collapsed="false">
      <c r="A211" s="0" t="n">
        <v>209</v>
      </c>
      <c r="B211" s="0" t="n">
        <f aca="false">calc_cohort!D$2+constant!$B$1*A211</f>
        <v>48.6166666666667</v>
      </c>
      <c r="C211" s="0" t="n">
        <f aca="false">_xlfn.FLOOR.MATH(B211)</f>
        <v>48</v>
      </c>
      <c r="D211" s="4" t="n">
        <f aca="false">INDEX(table_mortality_rate!$A$1:$C$2000,MATCH(C211,table_mortality_rate!$A$1:$A$2000,0),MATCH(calc_cohort!$E$2,table_mortality_rate!A$1:C$1,0))</f>
        <v>0.002008</v>
      </c>
      <c r="E211" s="0" t="n">
        <f aca="false">(1-D211)^constant!$B$1</f>
        <v>0.999832512466365</v>
      </c>
      <c r="F211" s="0" t="n">
        <f aca="false">IF(A211=0,1,F210*E211)</f>
        <v>0.982108043757642</v>
      </c>
      <c r="G211" s="5" t="b">
        <f aca="false">B211&gt;=calc_cohort!C$2</f>
        <v>0</v>
      </c>
      <c r="H211" s="0" t="n">
        <f aca="false">IF(G211,1,0)</f>
        <v>0</v>
      </c>
      <c r="I211" s="0" t="n">
        <f aca="false">calc_cohort!$B$2*constant!$B$1*F211*H211</f>
        <v>0</v>
      </c>
      <c r="J211" s="0" t="n">
        <f aca="false">INDEX(table_spot_rate!B$1:B$2000,MATCH(A211,table_spot_rate!A$1:A$2000,0))</f>
        <v>0.0511820907584123</v>
      </c>
      <c r="K211" s="0" t="n">
        <f aca="false">(1+J211)^(-A211*constant!$B$1)</f>
        <v>0.419220311995278</v>
      </c>
      <c r="L211" s="0" t="n">
        <f aca="false">K211*I211</f>
        <v>0</v>
      </c>
    </row>
    <row r="212" customFormat="false" ht="12.8" hidden="false" customHeight="false" outlineLevel="0" collapsed="false">
      <c r="A212" s="0" t="n">
        <v>210</v>
      </c>
      <c r="B212" s="0" t="n">
        <f aca="false">calc_cohort!D$2+constant!$B$1*A212</f>
        <v>48.7</v>
      </c>
      <c r="C212" s="0" t="n">
        <f aca="false">_xlfn.FLOOR.MATH(B212)</f>
        <v>48</v>
      </c>
      <c r="D212" s="4" t="n">
        <f aca="false">INDEX(table_mortality_rate!$A$1:$C$2000,MATCH(C212,table_mortality_rate!$A$1:$A$2000,0),MATCH(calc_cohort!$E$2,table_mortality_rate!A$1:C$1,0))</f>
        <v>0.002008</v>
      </c>
      <c r="E212" s="0" t="n">
        <f aca="false">(1-D212)^constant!$B$1</f>
        <v>0.999832512466365</v>
      </c>
      <c r="F212" s="0" t="n">
        <f aca="false">IF(A212=0,1,F211*E212)</f>
        <v>0.981943552903629</v>
      </c>
      <c r="G212" s="5" t="b">
        <f aca="false">B212&gt;=calc_cohort!C$2</f>
        <v>0</v>
      </c>
      <c r="H212" s="0" t="n">
        <f aca="false">IF(G212,1,0)</f>
        <v>0</v>
      </c>
      <c r="I212" s="0" t="n">
        <f aca="false">calc_cohort!$B$2*constant!$B$1*F212*H212</f>
        <v>0</v>
      </c>
      <c r="J212" s="0" t="n">
        <f aca="false">INDEX(table_spot_rate!B$1:B$2000,MATCH(A212,table_spot_rate!A$1:A$2000,0))</f>
        <v>0.0543839115766321</v>
      </c>
      <c r="K212" s="0" t="n">
        <f aca="false">(1+J212)^(-A212*constant!$B$1)</f>
        <v>0.395841674347686</v>
      </c>
      <c r="L212" s="0" t="n">
        <f aca="false">K212*I212</f>
        <v>0</v>
      </c>
    </row>
    <row r="213" customFormat="false" ht="12.8" hidden="false" customHeight="false" outlineLevel="0" collapsed="false">
      <c r="A213" s="0" t="n">
        <v>211</v>
      </c>
      <c r="B213" s="0" t="n">
        <f aca="false">calc_cohort!D$2+constant!$B$1*A213</f>
        <v>48.7833333333333</v>
      </c>
      <c r="C213" s="0" t="n">
        <f aca="false">_xlfn.FLOOR.MATH(B213)</f>
        <v>48</v>
      </c>
      <c r="D213" s="4" t="n">
        <f aca="false">INDEX(table_mortality_rate!$A$1:$C$2000,MATCH(C213,table_mortality_rate!$A$1:$A$2000,0),MATCH(calc_cohort!$E$2,table_mortality_rate!A$1:C$1,0))</f>
        <v>0.002008</v>
      </c>
      <c r="E213" s="0" t="n">
        <f aca="false">(1-D213)^constant!$B$1</f>
        <v>0.999832512466365</v>
      </c>
      <c r="F213" s="0" t="n">
        <f aca="false">IF(A213=0,1,F212*E213)</f>
        <v>0.981779089599784</v>
      </c>
      <c r="G213" s="5" t="b">
        <f aca="false">B213&gt;=calc_cohort!C$2</f>
        <v>0</v>
      </c>
      <c r="H213" s="0" t="n">
        <f aca="false">IF(G213,1,0)</f>
        <v>0</v>
      </c>
      <c r="I213" s="0" t="n">
        <f aca="false">calc_cohort!$B$2*constant!$B$1*F213*H213</f>
        <v>0</v>
      </c>
      <c r="J213" s="0" t="n">
        <f aca="false">INDEX(table_spot_rate!B$1:B$2000,MATCH(A213,table_spot_rate!A$1:A$2000,0))</f>
        <v>0.0574975319482215</v>
      </c>
      <c r="K213" s="0" t="n">
        <f aca="false">(1+J213)^(-A213*constant!$B$1)</f>
        <v>0.374186294762124</v>
      </c>
      <c r="L213" s="0" t="n">
        <f aca="false">K213*I213</f>
        <v>0</v>
      </c>
    </row>
    <row r="214" customFormat="false" ht="12.8" hidden="false" customHeight="false" outlineLevel="0" collapsed="false">
      <c r="A214" s="0" t="n">
        <v>212</v>
      </c>
      <c r="B214" s="0" t="n">
        <f aca="false">calc_cohort!D$2+constant!$B$1*A214</f>
        <v>48.8666666666667</v>
      </c>
      <c r="C214" s="0" t="n">
        <f aca="false">_xlfn.FLOOR.MATH(B214)</f>
        <v>48</v>
      </c>
      <c r="D214" s="4" t="n">
        <f aca="false">INDEX(table_mortality_rate!$A$1:$C$2000,MATCH(C214,table_mortality_rate!$A$1:$A$2000,0),MATCH(calc_cohort!$E$2,table_mortality_rate!A$1:C$1,0))</f>
        <v>0.002008</v>
      </c>
      <c r="E214" s="0" t="n">
        <f aca="false">(1-D214)^constant!$B$1</f>
        <v>0.999832512466365</v>
      </c>
      <c r="F214" s="0" t="n">
        <f aca="false">IF(A214=0,1,F213*E214)</f>
        <v>0.981614653841492</v>
      </c>
      <c r="G214" s="5" t="b">
        <f aca="false">B214&gt;=calc_cohort!C$2</f>
        <v>0</v>
      </c>
      <c r="H214" s="0" t="n">
        <f aca="false">IF(G214,1,0)</f>
        <v>0</v>
      </c>
      <c r="I214" s="0" t="n">
        <f aca="false">calc_cohort!$B$2*constant!$B$1*F214*H214</f>
        <v>0</v>
      </c>
      <c r="J214" s="0" t="n">
        <f aca="false">INDEX(table_spot_rate!B$1:B$2000,MATCH(A214,table_spot_rate!A$1:A$2000,0))</f>
        <v>0.0541619069977916</v>
      </c>
      <c r="K214" s="0" t="n">
        <f aca="false">(1+J214)^(-A214*constant!$B$1)</f>
        <v>0.393825686283418</v>
      </c>
      <c r="L214" s="0" t="n">
        <f aca="false">K214*I214</f>
        <v>0</v>
      </c>
    </row>
    <row r="215" customFormat="false" ht="12.8" hidden="false" customHeight="false" outlineLevel="0" collapsed="false">
      <c r="A215" s="0" t="n">
        <v>213</v>
      </c>
      <c r="B215" s="0" t="n">
        <f aca="false">calc_cohort!D$2+constant!$B$1*A215</f>
        <v>48.95</v>
      </c>
      <c r="C215" s="0" t="n">
        <f aca="false">_xlfn.FLOOR.MATH(B215)</f>
        <v>48</v>
      </c>
      <c r="D215" s="4" t="n">
        <f aca="false">INDEX(table_mortality_rate!$A$1:$C$2000,MATCH(C215,table_mortality_rate!$A$1:$A$2000,0),MATCH(calc_cohort!$E$2,table_mortality_rate!A$1:C$1,0))</f>
        <v>0.002008</v>
      </c>
      <c r="E215" s="0" t="n">
        <f aca="false">(1-D215)^constant!$B$1</f>
        <v>0.999832512466365</v>
      </c>
      <c r="F215" s="0" t="n">
        <f aca="false">IF(A215=0,1,F214*E215)</f>
        <v>0.98145024562414</v>
      </c>
      <c r="G215" s="5" t="b">
        <f aca="false">B215&gt;=calc_cohort!C$2</f>
        <v>0</v>
      </c>
      <c r="H215" s="0" t="n">
        <f aca="false">IF(G215,1,0)</f>
        <v>0</v>
      </c>
      <c r="I215" s="0" t="n">
        <f aca="false">calc_cohort!$B$2*constant!$B$1*F215*H215</f>
        <v>0</v>
      </c>
      <c r="J215" s="0" t="n">
        <f aca="false">INDEX(table_spot_rate!B$1:B$2000,MATCH(A215,table_spot_rate!A$1:A$2000,0))</f>
        <v>0.0565877441498135</v>
      </c>
      <c r="K215" s="0" t="n">
        <f aca="false">(1+J215)^(-A215*constant!$B$1)</f>
        <v>0.376423001946844</v>
      </c>
      <c r="L215" s="0" t="n">
        <f aca="false">K215*I215</f>
        <v>0</v>
      </c>
    </row>
    <row r="216" customFormat="false" ht="12.8" hidden="false" customHeight="false" outlineLevel="0" collapsed="false">
      <c r="A216" s="0" t="n">
        <v>214</v>
      </c>
      <c r="B216" s="0" t="n">
        <f aca="false">calc_cohort!D$2+constant!$B$1*A216</f>
        <v>49.0333333333333</v>
      </c>
      <c r="C216" s="0" t="n">
        <f aca="false">_xlfn.FLOOR.MATH(B216)</f>
        <v>49</v>
      </c>
      <c r="D216" s="4" t="n">
        <f aca="false">INDEX(table_mortality_rate!$A$1:$C$2000,MATCH(C216,table_mortality_rate!$A$1:$A$2000,0),MATCH(calc_cohort!$E$2,table_mortality_rate!A$1:C$1,0))</f>
        <v>0.002241</v>
      </c>
      <c r="E216" s="0" t="n">
        <f aca="false">(1-D216)^constant!$B$1</f>
        <v>0.999813057909325</v>
      </c>
      <c r="F216" s="0" t="n">
        <f aca="false">IF(A216=0,1,F215*E216)</f>
        <v>0.981266771263329</v>
      </c>
      <c r="G216" s="5" t="b">
        <f aca="false">B216&gt;=calc_cohort!C$2</f>
        <v>0</v>
      </c>
      <c r="H216" s="0" t="n">
        <f aca="false">IF(G216,1,0)</f>
        <v>0</v>
      </c>
      <c r="I216" s="0" t="n">
        <f aca="false">calc_cohort!$B$2*constant!$B$1*F216*H216</f>
        <v>0</v>
      </c>
      <c r="J216" s="0" t="n">
        <f aca="false">INDEX(table_spot_rate!B$1:B$2000,MATCH(A216,table_spot_rate!A$1:A$2000,0))</f>
        <v>0.0592843497696168</v>
      </c>
      <c r="K216" s="0" t="n">
        <f aca="false">(1+J216)^(-A216*constant!$B$1)</f>
        <v>0.358049237224893</v>
      </c>
      <c r="L216" s="0" t="n">
        <f aca="false">K216*I216</f>
        <v>0</v>
      </c>
    </row>
    <row r="217" customFormat="false" ht="12.8" hidden="false" customHeight="false" outlineLevel="0" collapsed="false">
      <c r="A217" s="0" t="n">
        <v>215</v>
      </c>
      <c r="B217" s="0" t="n">
        <f aca="false">calc_cohort!D$2+constant!$B$1*A217</f>
        <v>49.1166666666667</v>
      </c>
      <c r="C217" s="0" t="n">
        <f aca="false">_xlfn.FLOOR.MATH(B217)</f>
        <v>49</v>
      </c>
      <c r="D217" s="4" t="n">
        <f aca="false">INDEX(table_mortality_rate!$A$1:$C$2000,MATCH(C217,table_mortality_rate!$A$1:$A$2000,0),MATCH(calc_cohort!$E$2,table_mortality_rate!A$1:C$1,0))</f>
        <v>0.002241</v>
      </c>
      <c r="E217" s="0" t="n">
        <f aca="false">(1-D217)^constant!$B$1</f>
        <v>0.999813057909325</v>
      </c>
      <c r="F217" s="0" t="n">
        <f aca="false">IF(A217=0,1,F216*E217)</f>
        <v>0.981083331201599</v>
      </c>
      <c r="G217" s="5" t="b">
        <f aca="false">B217&gt;=calc_cohort!C$2</f>
        <v>0</v>
      </c>
      <c r="H217" s="0" t="n">
        <f aca="false">IF(G217,1,0)</f>
        <v>0</v>
      </c>
      <c r="I217" s="0" t="n">
        <f aca="false">calc_cohort!$B$2*constant!$B$1*F217*H217</f>
        <v>0</v>
      </c>
      <c r="J217" s="0" t="n">
        <f aca="false">INDEX(table_spot_rate!B$1:B$2000,MATCH(A217,table_spot_rate!A$1:A$2000,0))</f>
        <v>0.0517023040218497</v>
      </c>
      <c r="K217" s="0" t="n">
        <f aca="false">(1+J217)^(-A217*constant!$B$1)</f>
        <v>0.405278481993668</v>
      </c>
      <c r="L217" s="0" t="n">
        <f aca="false">K217*I217</f>
        <v>0</v>
      </c>
    </row>
    <row r="218" customFormat="false" ht="12.8" hidden="false" customHeight="false" outlineLevel="0" collapsed="false">
      <c r="A218" s="0" t="n">
        <v>216</v>
      </c>
      <c r="B218" s="0" t="n">
        <f aca="false">calc_cohort!D$2+constant!$B$1*A218</f>
        <v>49.2</v>
      </c>
      <c r="C218" s="0" t="n">
        <f aca="false">_xlfn.FLOOR.MATH(B218)</f>
        <v>49</v>
      </c>
      <c r="D218" s="4" t="n">
        <f aca="false">INDEX(table_mortality_rate!$A$1:$C$2000,MATCH(C218,table_mortality_rate!$A$1:$A$2000,0),MATCH(calc_cohort!$E$2,table_mortality_rate!A$1:C$1,0))</f>
        <v>0.002241</v>
      </c>
      <c r="E218" s="0" t="n">
        <f aca="false">(1-D218)^constant!$B$1</f>
        <v>0.999813057909325</v>
      </c>
      <c r="F218" s="0" t="n">
        <f aca="false">IF(A218=0,1,F217*E218)</f>
        <v>0.980899925432537</v>
      </c>
      <c r="G218" s="5" t="b">
        <f aca="false">B218&gt;=calc_cohort!C$2</f>
        <v>0</v>
      </c>
      <c r="H218" s="0" t="n">
        <f aca="false">IF(G218,1,0)</f>
        <v>0</v>
      </c>
      <c r="I218" s="0" t="n">
        <f aca="false">calc_cohort!$B$2*constant!$B$1*F218*H218</f>
        <v>0</v>
      </c>
      <c r="J218" s="0" t="n">
        <f aca="false">INDEX(table_spot_rate!B$1:B$2000,MATCH(A218,table_spot_rate!A$1:A$2000,0))</f>
        <v>0.0587564248413105</v>
      </c>
      <c r="K218" s="0" t="n">
        <f aca="false">(1+J218)^(-A218*constant!$B$1)</f>
        <v>0.357825215998015</v>
      </c>
      <c r="L218" s="0" t="n">
        <f aca="false">K218*I218</f>
        <v>0</v>
      </c>
    </row>
    <row r="219" customFormat="false" ht="12.8" hidden="false" customHeight="false" outlineLevel="0" collapsed="false">
      <c r="A219" s="0" t="n">
        <v>217</v>
      </c>
      <c r="B219" s="0" t="n">
        <f aca="false">calc_cohort!D$2+constant!$B$1*A219</f>
        <v>49.2833333333333</v>
      </c>
      <c r="C219" s="0" t="n">
        <f aca="false">_xlfn.FLOOR.MATH(B219)</f>
        <v>49</v>
      </c>
      <c r="D219" s="4" t="n">
        <f aca="false">INDEX(table_mortality_rate!$A$1:$C$2000,MATCH(C219,table_mortality_rate!$A$1:$A$2000,0),MATCH(calc_cohort!$E$2,table_mortality_rate!A$1:C$1,0))</f>
        <v>0.002241</v>
      </c>
      <c r="E219" s="0" t="n">
        <f aca="false">(1-D219)^constant!$B$1</f>
        <v>0.999813057909325</v>
      </c>
      <c r="F219" s="0" t="n">
        <f aca="false">IF(A219=0,1,F218*E219)</f>
        <v>0.980716553949734</v>
      </c>
      <c r="G219" s="5" t="b">
        <f aca="false">B219&gt;=calc_cohort!C$2</f>
        <v>0</v>
      </c>
      <c r="H219" s="0" t="n">
        <f aca="false">IF(G219,1,0)</f>
        <v>0</v>
      </c>
      <c r="I219" s="0" t="n">
        <f aca="false">calc_cohort!$B$2*constant!$B$1*F219*H219</f>
        <v>0</v>
      </c>
      <c r="J219" s="0" t="n">
        <f aca="false">INDEX(table_spot_rate!B$1:B$2000,MATCH(A219,table_spot_rate!A$1:A$2000,0))</f>
        <v>0.0592465534298946</v>
      </c>
      <c r="K219" s="0" t="n">
        <f aca="false">(1+J219)^(-A219*constant!$B$1)</f>
        <v>0.353158643035815</v>
      </c>
      <c r="L219" s="0" t="n">
        <f aca="false">K219*I219</f>
        <v>0</v>
      </c>
    </row>
    <row r="220" customFormat="false" ht="12.8" hidden="false" customHeight="false" outlineLevel="0" collapsed="false">
      <c r="A220" s="0" t="n">
        <v>218</v>
      </c>
      <c r="B220" s="0" t="n">
        <f aca="false">calc_cohort!D$2+constant!$B$1*A220</f>
        <v>49.3666666666667</v>
      </c>
      <c r="C220" s="0" t="n">
        <f aca="false">_xlfn.FLOOR.MATH(B220)</f>
        <v>49</v>
      </c>
      <c r="D220" s="4" t="n">
        <f aca="false">INDEX(table_mortality_rate!$A$1:$C$2000,MATCH(C220,table_mortality_rate!$A$1:$A$2000,0),MATCH(calc_cohort!$E$2,table_mortality_rate!A$1:C$1,0))</f>
        <v>0.002241</v>
      </c>
      <c r="E220" s="0" t="n">
        <f aca="false">(1-D220)^constant!$B$1</f>
        <v>0.999813057909325</v>
      </c>
      <c r="F220" s="0" t="n">
        <f aca="false">IF(A220=0,1,F219*E220)</f>
        <v>0.980533216746779</v>
      </c>
      <c r="G220" s="5" t="b">
        <f aca="false">B220&gt;=calc_cohort!C$2</f>
        <v>0</v>
      </c>
      <c r="H220" s="0" t="n">
        <f aca="false">IF(G220,1,0)</f>
        <v>0</v>
      </c>
      <c r="I220" s="0" t="n">
        <f aca="false">calc_cohort!$B$2*constant!$B$1*F220*H220</f>
        <v>0</v>
      </c>
      <c r="J220" s="0" t="n">
        <f aca="false">INDEX(table_spot_rate!B$1:B$2000,MATCH(A220,table_spot_rate!A$1:A$2000,0))</f>
        <v>0.0594726540775944</v>
      </c>
      <c r="K220" s="0" t="n">
        <f aca="false">(1+J220)^(-A220*constant!$B$1)</f>
        <v>0.350108653101128</v>
      </c>
      <c r="L220" s="0" t="n">
        <f aca="false">K220*I220</f>
        <v>0</v>
      </c>
    </row>
    <row r="221" customFormat="false" ht="12.8" hidden="false" customHeight="false" outlineLevel="0" collapsed="false">
      <c r="A221" s="0" t="n">
        <v>219</v>
      </c>
      <c r="B221" s="0" t="n">
        <f aca="false">calc_cohort!D$2+constant!$B$1*A221</f>
        <v>49.45</v>
      </c>
      <c r="C221" s="0" t="n">
        <f aca="false">_xlfn.FLOOR.MATH(B221)</f>
        <v>49</v>
      </c>
      <c r="D221" s="4" t="n">
        <f aca="false">INDEX(table_mortality_rate!$A$1:$C$2000,MATCH(C221,table_mortality_rate!$A$1:$A$2000,0),MATCH(calc_cohort!$E$2,table_mortality_rate!A$1:C$1,0))</f>
        <v>0.002241</v>
      </c>
      <c r="E221" s="0" t="n">
        <f aca="false">(1-D221)^constant!$B$1</f>
        <v>0.999813057909325</v>
      </c>
      <c r="F221" s="0" t="n">
        <f aca="false">IF(A221=0,1,F220*E221)</f>
        <v>0.980349913817263</v>
      </c>
      <c r="G221" s="5" t="b">
        <f aca="false">B221&gt;=calc_cohort!C$2</f>
        <v>0</v>
      </c>
      <c r="H221" s="0" t="n">
        <f aca="false">IF(G221,1,0)</f>
        <v>0</v>
      </c>
      <c r="I221" s="0" t="n">
        <f aca="false">calc_cohort!$B$2*constant!$B$1*F221*H221</f>
        <v>0</v>
      </c>
      <c r="J221" s="0" t="n">
        <f aca="false">INDEX(table_spot_rate!B$1:B$2000,MATCH(A221,table_spot_rate!A$1:A$2000,0))</f>
        <v>0.0534586559797235</v>
      </c>
      <c r="K221" s="0" t="n">
        <f aca="false">(1+J221)^(-A221*constant!$B$1)</f>
        <v>0.38657227097129</v>
      </c>
      <c r="L221" s="0" t="n">
        <f aca="false">K221*I221</f>
        <v>0</v>
      </c>
    </row>
    <row r="222" customFormat="false" ht="12.8" hidden="false" customHeight="false" outlineLevel="0" collapsed="false">
      <c r="A222" s="0" t="n">
        <v>220</v>
      </c>
      <c r="B222" s="0" t="n">
        <f aca="false">calc_cohort!D$2+constant!$B$1*A222</f>
        <v>49.5333333333333</v>
      </c>
      <c r="C222" s="0" t="n">
        <f aca="false">_xlfn.FLOOR.MATH(B222)</f>
        <v>49</v>
      </c>
      <c r="D222" s="4" t="n">
        <f aca="false">INDEX(table_mortality_rate!$A$1:$C$2000,MATCH(C222,table_mortality_rate!$A$1:$A$2000,0),MATCH(calc_cohort!$E$2,table_mortality_rate!A$1:C$1,0))</f>
        <v>0.002241</v>
      </c>
      <c r="E222" s="0" t="n">
        <f aca="false">(1-D222)^constant!$B$1</f>
        <v>0.999813057909325</v>
      </c>
      <c r="F222" s="0" t="n">
        <f aca="false">IF(A222=0,1,F221*E222)</f>
        <v>0.980166645154781</v>
      </c>
      <c r="G222" s="5" t="b">
        <f aca="false">B222&gt;=calc_cohort!C$2</f>
        <v>0</v>
      </c>
      <c r="H222" s="0" t="n">
        <f aca="false">IF(G222,1,0)</f>
        <v>0</v>
      </c>
      <c r="I222" s="0" t="n">
        <f aca="false">calc_cohort!$B$2*constant!$B$1*F222*H222</f>
        <v>0</v>
      </c>
      <c r="J222" s="0" t="n">
        <f aca="false">INDEX(table_spot_rate!B$1:B$2000,MATCH(A222,table_spot_rate!A$1:A$2000,0))</f>
        <v>0.054897349152661</v>
      </c>
      <c r="K222" s="0" t="n">
        <f aca="false">(1+J222)^(-A222*constant!$B$1)</f>
        <v>0.37538736297067</v>
      </c>
      <c r="L222" s="0" t="n">
        <f aca="false">K222*I222</f>
        <v>0</v>
      </c>
    </row>
    <row r="223" customFormat="false" ht="12.8" hidden="false" customHeight="false" outlineLevel="0" collapsed="false">
      <c r="A223" s="0" t="n">
        <v>221</v>
      </c>
      <c r="B223" s="0" t="n">
        <f aca="false">calc_cohort!D$2+constant!$B$1*A223</f>
        <v>49.6166666666667</v>
      </c>
      <c r="C223" s="0" t="n">
        <f aca="false">_xlfn.FLOOR.MATH(B223)</f>
        <v>49</v>
      </c>
      <c r="D223" s="4" t="n">
        <f aca="false">INDEX(table_mortality_rate!$A$1:$C$2000,MATCH(C223,table_mortality_rate!$A$1:$A$2000,0),MATCH(calc_cohort!$E$2,table_mortality_rate!A$1:C$1,0))</f>
        <v>0.002241</v>
      </c>
      <c r="E223" s="0" t="n">
        <f aca="false">(1-D223)^constant!$B$1</f>
        <v>0.999813057909325</v>
      </c>
      <c r="F223" s="0" t="n">
        <f aca="false">IF(A223=0,1,F222*E223)</f>
        <v>0.979983410752926</v>
      </c>
      <c r="G223" s="5" t="b">
        <f aca="false">B223&gt;=calc_cohort!C$2</f>
        <v>0</v>
      </c>
      <c r="H223" s="0" t="n">
        <f aca="false">IF(G223,1,0)</f>
        <v>0</v>
      </c>
      <c r="I223" s="0" t="n">
        <f aca="false">calc_cohort!$B$2*constant!$B$1*F223*H223</f>
        <v>0</v>
      </c>
      <c r="J223" s="0" t="n">
        <f aca="false">INDEX(table_spot_rate!B$1:B$2000,MATCH(A223,table_spot_rate!A$1:A$2000,0))</f>
        <v>0.0582062649278604</v>
      </c>
      <c r="K223" s="0" t="n">
        <f aca="false">(1+J223)^(-A223*constant!$B$1)</f>
        <v>0.352773905027517</v>
      </c>
      <c r="L223" s="0" t="n">
        <f aca="false">K223*I223</f>
        <v>0</v>
      </c>
    </row>
    <row r="224" customFormat="false" ht="12.8" hidden="false" customHeight="false" outlineLevel="0" collapsed="false">
      <c r="A224" s="0" t="n">
        <v>222</v>
      </c>
      <c r="B224" s="0" t="n">
        <f aca="false">calc_cohort!D$2+constant!$B$1*A224</f>
        <v>49.7</v>
      </c>
      <c r="C224" s="0" t="n">
        <f aca="false">_xlfn.FLOOR.MATH(B224)</f>
        <v>49</v>
      </c>
      <c r="D224" s="4" t="n">
        <f aca="false">INDEX(table_mortality_rate!$A$1:$C$2000,MATCH(C224,table_mortality_rate!$A$1:$A$2000,0),MATCH(calc_cohort!$E$2,table_mortality_rate!A$1:C$1,0))</f>
        <v>0.002241</v>
      </c>
      <c r="E224" s="0" t="n">
        <f aca="false">(1-D224)^constant!$B$1</f>
        <v>0.999813057909325</v>
      </c>
      <c r="F224" s="0" t="n">
        <f aca="false">IF(A224=0,1,F223*E224)</f>
        <v>0.979800210605293</v>
      </c>
      <c r="G224" s="5" t="b">
        <f aca="false">B224&gt;=calc_cohort!C$2</f>
        <v>0</v>
      </c>
      <c r="H224" s="0" t="n">
        <f aca="false">IF(G224,1,0)</f>
        <v>0</v>
      </c>
      <c r="I224" s="0" t="n">
        <f aca="false">calc_cohort!$B$2*constant!$B$1*F224*H224</f>
        <v>0</v>
      </c>
      <c r="J224" s="0" t="n">
        <f aca="false">INDEX(table_spot_rate!B$1:B$2000,MATCH(A224,table_spot_rate!A$1:A$2000,0))</f>
        <v>0.0572836260736936</v>
      </c>
      <c r="K224" s="0" t="n">
        <f aca="false">(1+J224)^(-A224*constant!$B$1)</f>
        <v>0.356826525364045</v>
      </c>
      <c r="L224" s="0" t="n">
        <f aca="false">K224*I224</f>
        <v>0</v>
      </c>
    </row>
    <row r="225" customFormat="false" ht="12.8" hidden="false" customHeight="false" outlineLevel="0" collapsed="false">
      <c r="A225" s="0" t="n">
        <v>223</v>
      </c>
      <c r="B225" s="0" t="n">
        <f aca="false">calc_cohort!D$2+constant!$B$1*A225</f>
        <v>49.7833333333333</v>
      </c>
      <c r="C225" s="0" t="n">
        <f aca="false">_xlfn.FLOOR.MATH(B225)</f>
        <v>49</v>
      </c>
      <c r="D225" s="4" t="n">
        <f aca="false">INDEX(table_mortality_rate!$A$1:$C$2000,MATCH(C225,table_mortality_rate!$A$1:$A$2000,0),MATCH(calc_cohort!$E$2,table_mortality_rate!A$1:C$1,0))</f>
        <v>0.002241</v>
      </c>
      <c r="E225" s="0" t="n">
        <f aca="false">(1-D225)^constant!$B$1</f>
        <v>0.999813057909325</v>
      </c>
      <c r="F225" s="0" t="n">
        <f aca="false">IF(A225=0,1,F224*E225)</f>
        <v>0.979617044705478</v>
      </c>
      <c r="G225" s="5" t="b">
        <f aca="false">B225&gt;=calc_cohort!C$2</f>
        <v>0</v>
      </c>
      <c r="H225" s="0" t="n">
        <f aca="false">IF(G225,1,0)</f>
        <v>0</v>
      </c>
      <c r="I225" s="0" t="n">
        <f aca="false">calc_cohort!$B$2*constant!$B$1*F225*H225</f>
        <v>0</v>
      </c>
      <c r="J225" s="0" t="n">
        <f aca="false">INDEX(table_spot_rate!B$1:B$2000,MATCH(A225,table_spot_rate!A$1:A$2000,0))</f>
        <v>0.051384435637265</v>
      </c>
      <c r="K225" s="0" t="n">
        <f aca="false">(1+J225)^(-A225*constant!$B$1)</f>
        <v>0.394092329493212</v>
      </c>
      <c r="L225" s="0" t="n">
        <f aca="false">K225*I225</f>
        <v>0</v>
      </c>
    </row>
    <row r="226" customFormat="false" ht="12.8" hidden="false" customHeight="false" outlineLevel="0" collapsed="false">
      <c r="A226" s="0" t="n">
        <v>224</v>
      </c>
      <c r="B226" s="0" t="n">
        <f aca="false">calc_cohort!D$2+constant!$B$1*A226</f>
        <v>49.8666666666667</v>
      </c>
      <c r="C226" s="0" t="n">
        <f aca="false">_xlfn.FLOOR.MATH(B226)</f>
        <v>49</v>
      </c>
      <c r="D226" s="4" t="n">
        <f aca="false">INDEX(table_mortality_rate!$A$1:$C$2000,MATCH(C226,table_mortality_rate!$A$1:$A$2000,0),MATCH(calc_cohort!$E$2,table_mortality_rate!A$1:C$1,0))</f>
        <v>0.002241</v>
      </c>
      <c r="E226" s="0" t="n">
        <f aca="false">(1-D226)^constant!$B$1</f>
        <v>0.999813057909325</v>
      </c>
      <c r="F226" s="0" t="n">
        <f aca="false">IF(A226=0,1,F225*E226)</f>
        <v>0.97943391304708</v>
      </c>
      <c r="G226" s="5" t="b">
        <f aca="false">B226&gt;=calc_cohort!C$2</f>
        <v>0</v>
      </c>
      <c r="H226" s="0" t="n">
        <f aca="false">IF(G226,1,0)</f>
        <v>0</v>
      </c>
      <c r="I226" s="0" t="n">
        <f aca="false">calc_cohort!$B$2*constant!$B$1*F226*H226</f>
        <v>0</v>
      </c>
      <c r="J226" s="0" t="n">
        <f aca="false">INDEX(table_spot_rate!B$1:B$2000,MATCH(A226,table_spot_rate!A$1:A$2000,0))</f>
        <v>0.0521354085829914</v>
      </c>
      <c r="K226" s="0" t="n">
        <f aca="false">(1+J226)^(-A226*constant!$B$1)</f>
        <v>0.387254182295328</v>
      </c>
      <c r="L226" s="0" t="n">
        <f aca="false">K226*I226</f>
        <v>0</v>
      </c>
    </row>
    <row r="227" customFormat="false" ht="12.8" hidden="false" customHeight="false" outlineLevel="0" collapsed="false">
      <c r="A227" s="0" t="n">
        <v>225</v>
      </c>
      <c r="B227" s="0" t="n">
        <f aca="false">calc_cohort!D$2+constant!$B$1*A227</f>
        <v>49.95</v>
      </c>
      <c r="C227" s="0" t="n">
        <f aca="false">_xlfn.FLOOR.MATH(B227)</f>
        <v>49</v>
      </c>
      <c r="D227" s="4" t="n">
        <f aca="false">INDEX(table_mortality_rate!$A$1:$C$2000,MATCH(C227,table_mortality_rate!$A$1:$A$2000,0),MATCH(calc_cohort!$E$2,table_mortality_rate!A$1:C$1,0))</f>
        <v>0.002241</v>
      </c>
      <c r="E227" s="0" t="n">
        <f aca="false">(1-D227)^constant!$B$1</f>
        <v>0.999813057909325</v>
      </c>
      <c r="F227" s="0" t="n">
        <f aca="false">IF(A227=0,1,F226*E227)</f>
        <v>0.979250815623696</v>
      </c>
      <c r="G227" s="5" t="b">
        <f aca="false">B227&gt;=calc_cohort!C$2</f>
        <v>0</v>
      </c>
      <c r="H227" s="0" t="n">
        <f aca="false">IF(G227,1,0)</f>
        <v>0</v>
      </c>
      <c r="I227" s="0" t="n">
        <f aca="false">calc_cohort!$B$2*constant!$B$1*F227*H227</f>
        <v>0</v>
      </c>
      <c r="J227" s="0" t="n">
        <f aca="false">INDEX(table_spot_rate!B$1:B$2000,MATCH(A227,table_spot_rate!A$1:A$2000,0))</f>
        <v>0.0575845997143626</v>
      </c>
      <c r="K227" s="0" t="n">
        <f aca="false">(1+J227)^(-A227*constant!$B$1)</f>
        <v>0.350018932262805</v>
      </c>
      <c r="L227" s="0" t="n">
        <f aca="false">K227*I227</f>
        <v>0</v>
      </c>
    </row>
    <row r="228" customFormat="false" ht="12.8" hidden="false" customHeight="false" outlineLevel="0" collapsed="false">
      <c r="A228" s="0" t="n">
        <v>226</v>
      </c>
      <c r="B228" s="0" t="n">
        <f aca="false">calc_cohort!D$2+constant!$B$1*A228</f>
        <v>50.0333333333333</v>
      </c>
      <c r="C228" s="0" t="n">
        <f aca="false">_xlfn.FLOOR.MATH(B228)</f>
        <v>50</v>
      </c>
      <c r="D228" s="4" t="n">
        <f aca="false">INDEX(table_mortality_rate!$A$1:$C$2000,MATCH(C228,table_mortality_rate!$A$1:$A$2000,0),MATCH(calc_cohort!$E$2,table_mortality_rate!A$1:C$1,0))</f>
        <v>0.002508</v>
      </c>
      <c r="E228" s="0" t="n">
        <f aca="false">(1-D228)^constant!$B$1</f>
        <v>0.999790759368841</v>
      </c>
      <c r="F228" s="0" t="n">
        <f aca="false">IF(A228=0,1,F227*E228)</f>
        <v>0.979045916564972</v>
      </c>
      <c r="G228" s="5" t="b">
        <f aca="false">B228&gt;=calc_cohort!C$2</f>
        <v>0</v>
      </c>
      <c r="H228" s="0" t="n">
        <f aca="false">IF(G228,1,0)</f>
        <v>0</v>
      </c>
      <c r="I228" s="0" t="n">
        <f aca="false">calc_cohort!$B$2*constant!$B$1*F228*H228</f>
        <v>0</v>
      </c>
      <c r="J228" s="0" t="n">
        <f aca="false">INDEX(table_spot_rate!B$1:B$2000,MATCH(A228,table_spot_rate!A$1:A$2000,0))</f>
        <v>0.0507818461470945</v>
      </c>
      <c r="K228" s="0" t="n">
        <f aca="false">(1+J228)^(-A228*constant!$B$1)</f>
        <v>0.393411242239766</v>
      </c>
      <c r="L228" s="0" t="n">
        <f aca="false">K228*I228</f>
        <v>0</v>
      </c>
    </row>
    <row r="229" customFormat="false" ht="12.8" hidden="false" customHeight="false" outlineLevel="0" collapsed="false">
      <c r="A229" s="0" t="n">
        <v>227</v>
      </c>
      <c r="B229" s="0" t="n">
        <f aca="false">calc_cohort!D$2+constant!$B$1*A229</f>
        <v>50.1166666666667</v>
      </c>
      <c r="C229" s="0" t="n">
        <f aca="false">_xlfn.FLOOR.MATH(B229)</f>
        <v>50</v>
      </c>
      <c r="D229" s="4" t="n">
        <f aca="false">INDEX(table_mortality_rate!$A$1:$C$2000,MATCH(C229,table_mortality_rate!$A$1:$A$2000,0),MATCH(calc_cohort!$E$2,table_mortality_rate!A$1:C$1,0))</f>
        <v>0.002508</v>
      </c>
      <c r="E229" s="0" t="n">
        <f aca="false">(1-D229)^constant!$B$1</f>
        <v>0.999790759368841</v>
      </c>
      <c r="F229" s="0" t="n">
        <f aca="false">IF(A229=0,1,F228*E229)</f>
        <v>0.978841060379457</v>
      </c>
      <c r="G229" s="5" t="b">
        <f aca="false">B229&gt;=calc_cohort!C$2</f>
        <v>0</v>
      </c>
      <c r="H229" s="0" t="n">
        <f aca="false">IF(G229,1,0)</f>
        <v>0</v>
      </c>
      <c r="I229" s="0" t="n">
        <f aca="false">calc_cohort!$B$2*constant!$B$1*F229*H229</f>
        <v>0</v>
      </c>
      <c r="J229" s="0" t="n">
        <f aca="false">INDEX(table_spot_rate!B$1:B$2000,MATCH(A229,table_spot_rate!A$1:A$2000,0))</f>
        <v>0.0571858166453377</v>
      </c>
      <c r="K229" s="0" t="n">
        <f aca="false">(1+J229)^(-A229*constant!$B$1)</f>
        <v>0.349250776007299</v>
      </c>
      <c r="L229" s="0" t="n">
        <f aca="false">K229*I229</f>
        <v>0</v>
      </c>
    </row>
    <row r="230" customFormat="false" ht="12.8" hidden="false" customHeight="false" outlineLevel="0" collapsed="false">
      <c r="A230" s="0" t="n">
        <v>228</v>
      </c>
      <c r="B230" s="0" t="n">
        <f aca="false">calc_cohort!D$2+constant!$B$1*A230</f>
        <v>50.2</v>
      </c>
      <c r="C230" s="0" t="n">
        <f aca="false">_xlfn.FLOOR.MATH(B230)</f>
        <v>50</v>
      </c>
      <c r="D230" s="4" t="n">
        <f aca="false">INDEX(table_mortality_rate!$A$1:$C$2000,MATCH(C230,table_mortality_rate!$A$1:$A$2000,0),MATCH(calc_cohort!$E$2,table_mortality_rate!A$1:C$1,0))</f>
        <v>0.002508</v>
      </c>
      <c r="E230" s="0" t="n">
        <f aca="false">(1-D230)^constant!$B$1</f>
        <v>0.999790759368841</v>
      </c>
      <c r="F230" s="0" t="n">
        <f aca="false">IF(A230=0,1,F229*E230)</f>
        <v>0.978636247058179</v>
      </c>
      <c r="G230" s="5" t="b">
        <f aca="false">B230&gt;=calc_cohort!C$2</f>
        <v>0</v>
      </c>
      <c r="H230" s="0" t="n">
        <f aca="false">IF(G230,1,0)</f>
        <v>0</v>
      </c>
      <c r="I230" s="0" t="n">
        <f aca="false">calc_cohort!$B$2*constant!$B$1*F230*H230</f>
        <v>0</v>
      </c>
      <c r="J230" s="0" t="n">
        <f aca="false">INDEX(table_spot_rate!B$1:B$2000,MATCH(A230,table_spot_rate!A$1:A$2000,0))</f>
        <v>0.0595007659786398</v>
      </c>
      <c r="K230" s="0" t="n">
        <f aca="false">(1+J230)^(-A230*constant!$B$1)</f>
        <v>0.333484593172187</v>
      </c>
      <c r="L230" s="0" t="n">
        <f aca="false">K230*I230</f>
        <v>0</v>
      </c>
    </row>
    <row r="231" customFormat="false" ht="12.8" hidden="false" customHeight="false" outlineLevel="0" collapsed="false">
      <c r="A231" s="0" t="n">
        <v>229</v>
      </c>
      <c r="B231" s="0" t="n">
        <f aca="false">calc_cohort!D$2+constant!$B$1*A231</f>
        <v>50.2833333333333</v>
      </c>
      <c r="C231" s="0" t="n">
        <f aca="false">_xlfn.FLOOR.MATH(B231)</f>
        <v>50</v>
      </c>
      <c r="D231" s="4" t="n">
        <f aca="false">INDEX(table_mortality_rate!$A$1:$C$2000,MATCH(C231,table_mortality_rate!$A$1:$A$2000,0),MATCH(calc_cohort!$E$2,table_mortality_rate!A$1:C$1,0))</f>
        <v>0.002508</v>
      </c>
      <c r="E231" s="0" t="n">
        <f aca="false">(1-D231)^constant!$B$1</f>
        <v>0.999790759368841</v>
      </c>
      <c r="F231" s="0" t="n">
        <f aca="false">IF(A231=0,1,F230*E231)</f>
        <v>0.97843147659217</v>
      </c>
      <c r="G231" s="5" t="b">
        <f aca="false">B231&gt;=calc_cohort!C$2</f>
        <v>0</v>
      </c>
      <c r="H231" s="0" t="n">
        <f aca="false">IF(G231,1,0)</f>
        <v>0</v>
      </c>
      <c r="I231" s="0" t="n">
        <f aca="false">calc_cohort!$B$2*constant!$B$1*F231*H231</f>
        <v>0</v>
      </c>
      <c r="J231" s="0" t="n">
        <f aca="false">INDEX(table_spot_rate!B$1:B$2000,MATCH(A231,table_spot_rate!A$1:A$2000,0))</f>
        <v>0.058035811216027</v>
      </c>
      <c r="K231" s="0" t="n">
        <f aca="false">(1+J231)^(-A231*constant!$B$1)</f>
        <v>0.340762127401638</v>
      </c>
      <c r="L231" s="0" t="n">
        <f aca="false">K231*I231</f>
        <v>0</v>
      </c>
    </row>
    <row r="232" customFormat="false" ht="12.8" hidden="false" customHeight="false" outlineLevel="0" collapsed="false">
      <c r="A232" s="0" t="n">
        <v>230</v>
      </c>
      <c r="B232" s="0" t="n">
        <f aca="false">calc_cohort!D$2+constant!$B$1*A232</f>
        <v>50.3666666666667</v>
      </c>
      <c r="C232" s="0" t="n">
        <f aca="false">_xlfn.FLOOR.MATH(B232)</f>
        <v>50</v>
      </c>
      <c r="D232" s="4" t="n">
        <f aca="false">INDEX(table_mortality_rate!$A$1:$C$2000,MATCH(C232,table_mortality_rate!$A$1:$A$2000,0),MATCH(calc_cohort!$E$2,table_mortality_rate!A$1:C$1,0))</f>
        <v>0.002508</v>
      </c>
      <c r="E232" s="0" t="n">
        <f aca="false">(1-D232)^constant!$B$1</f>
        <v>0.999790759368841</v>
      </c>
      <c r="F232" s="0" t="n">
        <f aca="false">IF(A232=0,1,F231*E232)</f>
        <v>0.978226748972462</v>
      </c>
      <c r="G232" s="5" t="b">
        <f aca="false">B232&gt;=calc_cohort!C$2</f>
        <v>0</v>
      </c>
      <c r="H232" s="0" t="n">
        <f aca="false">IF(G232,1,0)</f>
        <v>0</v>
      </c>
      <c r="I232" s="0" t="n">
        <f aca="false">calc_cohort!$B$2*constant!$B$1*F232*H232</f>
        <v>0</v>
      </c>
      <c r="J232" s="0" t="n">
        <f aca="false">INDEX(table_spot_rate!B$1:B$2000,MATCH(A232,table_spot_rate!A$1:A$2000,0))</f>
        <v>0.0536026354253207</v>
      </c>
      <c r="K232" s="0" t="n">
        <f aca="false">(1+J232)^(-A232*constant!$B$1)</f>
        <v>0.367587223634166</v>
      </c>
      <c r="L232" s="0" t="n">
        <f aca="false">K232*I232</f>
        <v>0</v>
      </c>
    </row>
    <row r="233" customFormat="false" ht="12.8" hidden="false" customHeight="false" outlineLevel="0" collapsed="false">
      <c r="A233" s="0" t="n">
        <v>231</v>
      </c>
      <c r="B233" s="0" t="n">
        <f aca="false">calc_cohort!D$2+constant!$B$1*A233</f>
        <v>50.45</v>
      </c>
      <c r="C233" s="0" t="n">
        <f aca="false">_xlfn.FLOOR.MATH(B233)</f>
        <v>50</v>
      </c>
      <c r="D233" s="4" t="n">
        <f aca="false">INDEX(table_mortality_rate!$A$1:$C$2000,MATCH(C233,table_mortality_rate!$A$1:$A$2000,0),MATCH(calc_cohort!$E$2,table_mortality_rate!A$1:C$1,0))</f>
        <v>0.002508</v>
      </c>
      <c r="E233" s="0" t="n">
        <f aca="false">(1-D233)^constant!$B$1</f>
        <v>0.999790759368841</v>
      </c>
      <c r="F233" s="0" t="n">
        <f aca="false">IF(A233=0,1,F232*E233)</f>
        <v>0.97802206419009</v>
      </c>
      <c r="G233" s="5" t="b">
        <f aca="false">B233&gt;=calc_cohort!C$2</f>
        <v>0</v>
      </c>
      <c r="H233" s="0" t="n">
        <f aca="false">IF(G233,1,0)</f>
        <v>0</v>
      </c>
      <c r="I233" s="0" t="n">
        <f aca="false">calc_cohort!$B$2*constant!$B$1*F233*H233</f>
        <v>0</v>
      </c>
      <c r="J233" s="0" t="n">
        <f aca="false">INDEX(table_spot_rate!B$1:B$2000,MATCH(A233,table_spot_rate!A$1:A$2000,0))</f>
        <v>0.0519721648942803</v>
      </c>
      <c r="K233" s="0" t="n">
        <f aca="false">(1+J233)^(-A233*constant!$B$1)</f>
        <v>0.377066730305199</v>
      </c>
      <c r="L233" s="0" t="n">
        <f aca="false">K233*I233</f>
        <v>0</v>
      </c>
    </row>
    <row r="234" customFormat="false" ht="12.8" hidden="false" customHeight="false" outlineLevel="0" collapsed="false">
      <c r="A234" s="0" t="n">
        <v>232</v>
      </c>
      <c r="B234" s="0" t="n">
        <f aca="false">calc_cohort!D$2+constant!$B$1*A234</f>
        <v>50.5333333333333</v>
      </c>
      <c r="C234" s="0" t="n">
        <f aca="false">_xlfn.FLOOR.MATH(B234)</f>
        <v>50</v>
      </c>
      <c r="D234" s="4" t="n">
        <f aca="false">INDEX(table_mortality_rate!$A$1:$C$2000,MATCH(C234,table_mortality_rate!$A$1:$A$2000,0),MATCH(calc_cohort!$E$2,table_mortality_rate!A$1:C$1,0))</f>
        <v>0.002508</v>
      </c>
      <c r="E234" s="0" t="n">
        <f aca="false">(1-D234)^constant!$B$1</f>
        <v>0.999790759368841</v>
      </c>
      <c r="F234" s="0" t="n">
        <f aca="false">IF(A234=0,1,F233*E234)</f>
        <v>0.977817422236092</v>
      </c>
      <c r="G234" s="5" t="b">
        <f aca="false">B234&gt;=calc_cohort!C$2</f>
        <v>0</v>
      </c>
      <c r="H234" s="0" t="n">
        <f aca="false">IF(G234,1,0)</f>
        <v>0</v>
      </c>
      <c r="I234" s="0" t="n">
        <f aca="false">calc_cohort!$B$2*constant!$B$1*F234*H234</f>
        <v>0</v>
      </c>
      <c r="J234" s="0" t="n">
        <f aca="false">INDEX(table_spot_rate!B$1:B$2000,MATCH(A234,table_spot_rate!A$1:A$2000,0))</f>
        <v>0.0587116394987599</v>
      </c>
      <c r="K234" s="0" t="n">
        <f aca="false">(1+J234)^(-A234*constant!$B$1)</f>
        <v>0.3318674845429</v>
      </c>
      <c r="L234" s="0" t="n">
        <f aca="false">K234*I234</f>
        <v>0</v>
      </c>
    </row>
    <row r="235" customFormat="false" ht="12.8" hidden="false" customHeight="false" outlineLevel="0" collapsed="false">
      <c r="A235" s="0" t="n">
        <v>233</v>
      </c>
      <c r="B235" s="0" t="n">
        <f aca="false">calc_cohort!D$2+constant!$B$1*A235</f>
        <v>50.6166666666667</v>
      </c>
      <c r="C235" s="0" t="n">
        <f aca="false">_xlfn.FLOOR.MATH(B235)</f>
        <v>50</v>
      </c>
      <c r="D235" s="4" t="n">
        <f aca="false">INDEX(table_mortality_rate!$A$1:$C$2000,MATCH(C235,table_mortality_rate!$A$1:$A$2000,0),MATCH(calc_cohort!$E$2,table_mortality_rate!A$1:C$1,0))</f>
        <v>0.002508</v>
      </c>
      <c r="E235" s="0" t="n">
        <f aca="false">(1-D235)^constant!$B$1</f>
        <v>0.999790759368841</v>
      </c>
      <c r="F235" s="0" t="n">
        <f aca="false">IF(A235=0,1,F234*E235)</f>
        <v>0.977612823101505</v>
      </c>
      <c r="G235" s="5" t="b">
        <f aca="false">B235&gt;=calc_cohort!C$2</f>
        <v>0</v>
      </c>
      <c r="H235" s="0" t="n">
        <f aca="false">IF(G235,1,0)</f>
        <v>0</v>
      </c>
      <c r="I235" s="0" t="n">
        <f aca="false">calc_cohort!$B$2*constant!$B$1*F235*H235</f>
        <v>0</v>
      </c>
      <c r="J235" s="0" t="n">
        <f aca="false">INDEX(table_spot_rate!B$1:B$2000,MATCH(A235,table_spot_rate!A$1:A$2000,0))</f>
        <v>0.054778969386017</v>
      </c>
      <c r="K235" s="0" t="n">
        <f aca="false">(1+J235)^(-A235*constant!$B$1)</f>
        <v>0.355043537093125</v>
      </c>
      <c r="L235" s="0" t="n">
        <f aca="false">K235*I235</f>
        <v>0</v>
      </c>
    </row>
    <row r="236" customFormat="false" ht="12.8" hidden="false" customHeight="false" outlineLevel="0" collapsed="false">
      <c r="A236" s="0" t="n">
        <v>234</v>
      </c>
      <c r="B236" s="0" t="n">
        <f aca="false">calc_cohort!D$2+constant!$B$1*A236</f>
        <v>50.7</v>
      </c>
      <c r="C236" s="0" t="n">
        <f aca="false">_xlfn.FLOOR.MATH(B236)</f>
        <v>50</v>
      </c>
      <c r="D236" s="4" t="n">
        <f aca="false">INDEX(table_mortality_rate!$A$1:$C$2000,MATCH(C236,table_mortality_rate!$A$1:$A$2000,0),MATCH(calc_cohort!$E$2,table_mortality_rate!A$1:C$1,0))</f>
        <v>0.002508</v>
      </c>
      <c r="E236" s="0" t="n">
        <f aca="false">(1-D236)^constant!$B$1</f>
        <v>0.999790759368841</v>
      </c>
      <c r="F236" s="0" t="n">
        <f aca="false">IF(A236=0,1,F235*E236)</f>
        <v>0.977408266777371</v>
      </c>
      <c r="G236" s="5" t="b">
        <f aca="false">B236&gt;=calc_cohort!C$2</f>
        <v>0</v>
      </c>
      <c r="H236" s="0" t="n">
        <f aca="false">IF(G236,1,0)</f>
        <v>0</v>
      </c>
      <c r="I236" s="0" t="n">
        <f aca="false">calc_cohort!$B$2*constant!$B$1*F236*H236</f>
        <v>0</v>
      </c>
      <c r="J236" s="0" t="n">
        <f aca="false">INDEX(table_spot_rate!B$1:B$2000,MATCH(A236,table_spot_rate!A$1:A$2000,0))</f>
        <v>0.0568730493096213</v>
      </c>
      <c r="K236" s="0" t="n">
        <f aca="false">(1+J236)^(-A236*constant!$B$1)</f>
        <v>0.34005952553364</v>
      </c>
      <c r="L236" s="0" t="n">
        <f aca="false">K236*I236</f>
        <v>0</v>
      </c>
    </row>
    <row r="237" customFormat="false" ht="12.8" hidden="false" customHeight="false" outlineLevel="0" collapsed="false">
      <c r="A237" s="0" t="n">
        <v>235</v>
      </c>
      <c r="B237" s="0" t="n">
        <f aca="false">calc_cohort!D$2+constant!$B$1*A237</f>
        <v>50.7833333333333</v>
      </c>
      <c r="C237" s="0" t="n">
        <f aca="false">_xlfn.FLOOR.MATH(B237)</f>
        <v>50</v>
      </c>
      <c r="D237" s="4" t="n">
        <f aca="false">INDEX(table_mortality_rate!$A$1:$C$2000,MATCH(C237,table_mortality_rate!$A$1:$A$2000,0),MATCH(calc_cohort!$E$2,table_mortality_rate!A$1:C$1,0))</f>
        <v>0.002508</v>
      </c>
      <c r="E237" s="0" t="n">
        <f aca="false">(1-D237)^constant!$B$1</f>
        <v>0.999790759368841</v>
      </c>
      <c r="F237" s="0" t="n">
        <f aca="false">IF(A237=0,1,F236*E237)</f>
        <v>0.97720375325473</v>
      </c>
      <c r="G237" s="5" t="b">
        <f aca="false">B237&gt;=calc_cohort!C$2</f>
        <v>0</v>
      </c>
      <c r="H237" s="0" t="n">
        <f aca="false">IF(G237,1,0)</f>
        <v>0</v>
      </c>
      <c r="I237" s="0" t="n">
        <f aca="false">calc_cohort!$B$2*constant!$B$1*F237*H237</f>
        <v>0</v>
      </c>
      <c r="J237" s="0" t="n">
        <f aca="false">INDEX(table_spot_rate!B$1:B$2000,MATCH(A237,table_spot_rate!A$1:A$2000,0))</f>
        <v>0.0588343546852963</v>
      </c>
      <c r="K237" s="0" t="n">
        <f aca="false">(1+J237)^(-A237*constant!$B$1)</f>
        <v>0.326425841601729</v>
      </c>
      <c r="L237" s="0" t="n">
        <f aca="false">K237*I237</f>
        <v>0</v>
      </c>
    </row>
    <row r="238" customFormat="false" ht="12.8" hidden="false" customHeight="false" outlineLevel="0" collapsed="false">
      <c r="A238" s="0" t="n">
        <v>236</v>
      </c>
      <c r="B238" s="0" t="n">
        <f aca="false">calc_cohort!D$2+constant!$B$1*A238</f>
        <v>50.8666666666667</v>
      </c>
      <c r="C238" s="0" t="n">
        <f aca="false">_xlfn.FLOOR.MATH(B238)</f>
        <v>50</v>
      </c>
      <c r="D238" s="4" t="n">
        <f aca="false">INDEX(table_mortality_rate!$A$1:$C$2000,MATCH(C238,table_mortality_rate!$A$1:$A$2000,0),MATCH(calc_cohort!$E$2,table_mortality_rate!A$1:C$1,0))</f>
        <v>0.002508</v>
      </c>
      <c r="E238" s="0" t="n">
        <f aca="false">(1-D238)^constant!$B$1</f>
        <v>0.999790759368841</v>
      </c>
      <c r="F238" s="0" t="n">
        <f aca="false">IF(A238=0,1,F237*E238)</f>
        <v>0.976999282524629</v>
      </c>
      <c r="G238" s="5" t="b">
        <f aca="false">B238&gt;=calc_cohort!C$2</f>
        <v>0</v>
      </c>
      <c r="H238" s="0" t="n">
        <f aca="false">IF(G238,1,0)</f>
        <v>0</v>
      </c>
      <c r="I238" s="0" t="n">
        <f aca="false">calc_cohort!$B$2*constant!$B$1*F238*H238</f>
        <v>0</v>
      </c>
      <c r="J238" s="0" t="n">
        <f aca="false">INDEX(table_spot_rate!B$1:B$2000,MATCH(A238,table_spot_rate!A$1:A$2000,0))</f>
        <v>0.0571762683928259</v>
      </c>
      <c r="K238" s="0" t="n">
        <f aca="false">(1+J238)^(-A238*constant!$B$1)</f>
        <v>0.335043367870475</v>
      </c>
      <c r="L238" s="0" t="n">
        <f aca="false">K238*I238</f>
        <v>0</v>
      </c>
    </row>
    <row r="239" customFormat="false" ht="12.8" hidden="false" customHeight="false" outlineLevel="0" collapsed="false">
      <c r="A239" s="0" t="n">
        <v>237</v>
      </c>
      <c r="B239" s="0" t="n">
        <f aca="false">calc_cohort!D$2+constant!$B$1*A239</f>
        <v>50.95</v>
      </c>
      <c r="C239" s="0" t="n">
        <f aca="false">_xlfn.FLOOR.MATH(B239)</f>
        <v>50</v>
      </c>
      <c r="D239" s="4" t="n">
        <f aca="false">INDEX(table_mortality_rate!$A$1:$C$2000,MATCH(C239,table_mortality_rate!$A$1:$A$2000,0),MATCH(calc_cohort!$E$2,table_mortality_rate!A$1:C$1,0))</f>
        <v>0.002508</v>
      </c>
      <c r="E239" s="0" t="n">
        <f aca="false">(1-D239)^constant!$B$1</f>
        <v>0.999790759368841</v>
      </c>
      <c r="F239" s="0" t="n">
        <f aca="false">IF(A239=0,1,F238*E239)</f>
        <v>0.976794854578111</v>
      </c>
      <c r="G239" s="5" t="b">
        <f aca="false">B239&gt;=calc_cohort!C$2</f>
        <v>0</v>
      </c>
      <c r="H239" s="0" t="n">
        <f aca="false">IF(G239,1,0)</f>
        <v>0</v>
      </c>
      <c r="I239" s="0" t="n">
        <f aca="false">calc_cohort!$B$2*constant!$B$1*F239*H239</f>
        <v>0</v>
      </c>
      <c r="J239" s="0" t="n">
        <f aca="false">INDEX(table_spot_rate!B$1:B$2000,MATCH(A239,table_spot_rate!A$1:A$2000,0))</f>
        <v>0.0567435621500586</v>
      </c>
      <c r="K239" s="0" t="n">
        <f aca="false">(1+J239)^(-A239*constant!$B$1)</f>
        <v>0.336201919238447</v>
      </c>
      <c r="L239" s="0" t="n">
        <f aca="false">K239*I239</f>
        <v>0</v>
      </c>
    </row>
    <row r="240" customFormat="false" ht="12.8" hidden="false" customHeight="false" outlineLevel="0" collapsed="false">
      <c r="A240" s="0" t="n">
        <v>238</v>
      </c>
      <c r="B240" s="0" t="n">
        <f aca="false">calc_cohort!D$2+constant!$B$1*A240</f>
        <v>51.0333333333333</v>
      </c>
      <c r="C240" s="0" t="n">
        <f aca="false">_xlfn.FLOOR.MATH(B240)</f>
        <v>51</v>
      </c>
      <c r="D240" s="4" t="n">
        <f aca="false">INDEX(table_mortality_rate!$A$1:$C$2000,MATCH(C240,table_mortality_rate!$A$1:$A$2000,0),MATCH(calc_cohort!$E$2,table_mortality_rate!A$1:C$1,0))</f>
        <v>0.002809</v>
      </c>
      <c r="E240" s="0" t="n">
        <f aca="false">(1-D240)^constant!$B$1</f>
        <v>0.999765614752163</v>
      </c>
      <c r="F240" s="0" t="n">
        <f aca="false">IF(A240=0,1,F239*E240)</f>
        <v>0.976565908274036</v>
      </c>
      <c r="G240" s="5" t="b">
        <f aca="false">B240&gt;=calc_cohort!C$2</f>
        <v>0</v>
      </c>
      <c r="H240" s="0" t="n">
        <f aca="false">IF(G240,1,0)</f>
        <v>0</v>
      </c>
      <c r="I240" s="0" t="n">
        <f aca="false">calc_cohort!$B$2*constant!$B$1*F240*H240</f>
        <v>0</v>
      </c>
      <c r="J240" s="0" t="n">
        <f aca="false">INDEX(table_spot_rate!B$1:B$2000,MATCH(A240,table_spot_rate!A$1:A$2000,0))</f>
        <v>0.0587985262917701</v>
      </c>
      <c r="K240" s="0" t="n">
        <f aca="false">(1+J240)^(-A240*constant!$B$1)</f>
        <v>0.322009727752263</v>
      </c>
      <c r="L240" s="0" t="n">
        <f aca="false">K240*I240</f>
        <v>0</v>
      </c>
    </row>
    <row r="241" customFormat="false" ht="12.8" hidden="false" customHeight="false" outlineLevel="0" collapsed="false">
      <c r="A241" s="0" t="n">
        <v>239</v>
      </c>
      <c r="B241" s="0" t="n">
        <f aca="false">calc_cohort!D$2+constant!$B$1*A241</f>
        <v>51.1166666666667</v>
      </c>
      <c r="C241" s="0" t="n">
        <f aca="false">_xlfn.FLOOR.MATH(B241)</f>
        <v>51</v>
      </c>
      <c r="D241" s="4" t="n">
        <f aca="false">INDEX(table_mortality_rate!$A$1:$C$2000,MATCH(C241,table_mortality_rate!$A$1:$A$2000,0),MATCH(calc_cohort!$E$2,table_mortality_rate!A$1:C$1,0))</f>
        <v>0.002809</v>
      </c>
      <c r="E241" s="0" t="n">
        <f aca="false">(1-D241)^constant!$B$1</f>
        <v>0.999765614752163</v>
      </c>
      <c r="F241" s="0" t="n">
        <f aca="false">IF(A241=0,1,F240*E241)</f>
        <v>0.976337015631596</v>
      </c>
      <c r="G241" s="5" t="b">
        <f aca="false">B241&gt;=calc_cohort!C$2</f>
        <v>0</v>
      </c>
      <c r="H241" s="0" t="n">
        <f aca="false">IF(G241,1,0)</f>
        <v>0</v>
      </c>
      <c r="I241" s="0" t="n">
        <f aca="false">calc_cohort!$B$2*constant!$B$1*F241*H241</f>
        <v>0</v>
      </c>
      <c r="J241" s="0" t="n">
        <f aca="false">INDEX(table_spot_rate!B$1:B$2000,MATCH(A241,table_spot_rate!A$1:A$2000,0))</f>
        <v>0.0597365939116348</v>
      </c>
      <c r="K241" s="0" t="n">
        <f aca="false">(1+J241)^(-A241*constant!$B$1)</f>
        <v>0.31487719071151</v>
      </c>
      <c r="L241" s="0" t="n">
        <f aca="false">K241*I241</f>
        <v>0</v>
      </c>
    </row>
    <row r="242" customFormat="false" ht="12.8" hidden="false" customHeight="false" outlineLevel="0" collapsed="false">
      <c r="A242" s="0" t="n">
        <v>240</v>
      </c>
      <c r="B242" s="0" t="n">
        <f aca="false">calc_cohort!D$2+constant!$B$1*A242</f>
        <v>51.2</v>
      </c>
      <c r="C242" s="0" t="n">
        <f aca="false">_xlfn.FLOOR.MATH(B242)</f>
        <v>51</v>
      </c>
      <c r="D242" s="4" t="n">
        <f aca="false">INDEX(table_mortality_rate!$A$1:$C$2000,MATCH(C242,table_mortality_rate!$A$1:$A$2000,0),MATCH(calc_cohort!$E$2,table_mortality_rate!A$1:C$1,0))</f>
        <v>0.002809</v>
      </c>
      <c r="E242" s="0" t="n">
        <f aca="false">(1-D242)^constant!$B$1</f>
        <v>0.999765614752163</v>
      </c>
      <c r="F242" s="0" t="n">
        <f aca="false">IF(A242=0,1,F241*E242)</f>
        <v>0.976108176638215</v>
      </c>
      <c r="G242" s="5" t="b">
        <f aca="false">B242&gt;=calc_cohort!C$2</f>
        <v>0</v>
      </c>
      <c r="H242" s="0" t="n">
        <f aca="false">IF(G242,1,0)</f>
        <v>0</v>
      </c>
      <c r="I242" s="0" t="n">
        <f aca="false">calc_cohort!$B$2*constant!$B$1*F242*H242</f>
        <v>0</v>
      </c>
      <c r="J242" s="0" t="n">
        <f aca="false">INDEX(table_spot_rate!B$1:B$2000,MATCH(A242,table_spot_rate!A$1:A$2000,0))</f>
        <v>0.0589590432265653</v>
      </c>
      <c r="K242" s="0" t="n">
        <f aca="false">(1+J242)^(-A242*constant!$B$1)</f>
        <v>0.317992392831591</v>
      </c>
      <c r="L242" s="0" t="n">
        <f aca="false">K242*I242</f>
        <v>0</v>
      </c>
    </row>
    <row r="243" customFormat="false" ht="12.8" hidden="false" customHeight="false" outlineLevel="0" collapsed="false">
      <c r="A243" s="0" t="n">
        <v>241</v>
      </c>
      <c r="B243" s="0" t="n">
        <f aca="false">calc_cohort!D$2+constant!$B$1*A243</f>
        <v>51.2833333333333</v>
      </c>
      <c r="C243" s="0" t="n">
        <f aca="false">_xlfn.FLOOR.MATH(B243)</f>
        <v>51</v>
      </c>
      <c r="D243" s="4" t="n">
        <f aca="false">INDEX(table_mortality_rate!$A$1:$C$2000,MATCH(C243,table_mortality_rate!$A$1:$A$2000,0),MATCH(calc_cohort!$E$2,table_mortality_rate!A$1:C$1,0))</f>
        <v>0.002809</v>
      </c>
      <c r="E243" s="0" t="n">
        <f aca="false">(1-D243)^constant!$B$1</f>
        <v>0.999765614752163</v>
      </c>
      <c r="F243" s="0" t="n">
        <f aca="false">IF(A243=0,1,F242*E243)</f>
        <v>0.975879391281319</v>
      </c>
      <c r="G243" s="5" t="b">
        <f aca="false">B243&gt;=calc_cohort!C$2</f>
        <v>0</v>
      </c>
      <c r="H243" s="0" t="n">
        <f aca="false">IF(G243,1,0)</f>
        <v>0</v>
      </c>
      <c r="I243" s="0" t="n">
        <f aca="false">calc_cohort!$B$2*constant!$B$1*F243*H243</f>
        <v>0</v>
      </c>
      <c r="J243" s="0" t="n">
        <f aca="false">INDEX(table_spot_rate!B$1:B$2000,MATCH(A243,table_spot_rate!A$1:A$2000,0))</f>
        <v>0.0550086591768984</v>
      </c>
      <c r="K243" s="0" t="n">
        <f aca="false">(1+J243)^(-A243*constant!$B$1)</f>
        <v>0.341146966599025</v>
      </c>
      <c r="L243" s="0" t="n">
        <f aca="false">K243*I243</f>
        <v>0</v>
      </c>
    </row>
    <row r="244" customFormat="false" ht="12.8" hidden="false" customHeight="false" outlineLevel="0" collapsed="false">
      <c r="A244" s="0" t="n">
        <v>242</v>
      </c>
      <c r="B244" s="0" t="n">
        <f aca="false">calc_cohort!D$2+constant!$B$1*A244</f>
        <v>51.3666666666667</v>
      </c>
      <c r="C244" s="0" t="n">
        <f aca="false">_xlfn.FLOOR.MATH(B244)</f>
        <v>51</v>
      </c>
      <c r="D244" s="4" t="n">
        <f aca="false">INDEX(table_mortality_rate!$A$1:$C$2000,MATCH(C244,table_mortality_rate!$A$1:$A$2000,0),MATCH(calc_cohort!$E$2,table_mortality_rate!A$1:C$1,0))</f>
        <v>0.002809</v>
      </c>
      <c r="E244" s="0" t="n">
        <f aca="false">(1-D244)^constant!$B$1</f>
        <v>0.999765614752163</v>
      </c>
      <c r="F244" s="0" t="n">
        <f aca="false">IF(A244=0,1,F243*E244)</f>
        <v>0.975650659548335</v>
      </c>
      <c r="G244" s="5" t="b">
        <f aca="false">B244&gt;=calc_cohort!C$2</f>
        <v>0</v>
      </c>
      <c r="H244" s="0" t="n">
        <f aca="false">IF(G244,1,0)</f>
        <v>0</v>
      </c>
      <c r="I244" s="0" t="n">
        <f aca="false">calc_cohort!$B$2*constant!$B$1*F244*H244</f>
        <v>0</v>
      </c>
      <c r="J244" s="0" t="n">
        <f aca="false">INDEX(table_spot_rate!B$1:B$2000,MATCH(A244,table_spot_rate!A$1:A$2000,0))</f>
        <v>0.0562532732431204</v>
      </c>
      <c r="K244" s="0" t="n">
        <f aca="false">(1+J244)^(-A244*constant!$B$1)</f>
        <v>0.331647936364564</v>
      </c>
      <c r="L244" s="0" t="n">
        <f aca="false">K244*I244</f>
        <v>0</v>
      </c>
    </row>
    <row r="245" customFormat="false" ht="12.8" hidden="false" customHeight="false" outlineLevel="0" collapsed="false">
      <c r="A245" s="0" t="n">
        <v>243</v>
      </c>
      <c r="B245" s="0" t="n">
        <f aca="false">calc_cohort!D$2+constant!$B$1*A245</f>
        <v>51.45</v>
      </c>
      <c r="C245" s="0" t="n">
        <f aca="false">_xlfn.FLOOR.MATH(B245)</f>
        <v>51</v>
      </c>
      <c r="D245" s="4" t="n">
        <f aca="false">INDEX(table_mortality_rate!$A$1:$C$2000,MATCH(C245,table_mortality_rate!$A$1:$A$2000,0),MATCH(calc_cohort!$E$2,table_mortality_rate!A$1:C$1,0))</f>
        <v>0.002809</v>
      </c>
      <c r="E245" s="0" t="n">
        <f aca="false">(1-D245)^constant!$B$1</f>
        <v>0.999765614752163</v>
      </c>
      <c r="F245" s="0" t="n">
        <f aca="false">IF(A245=0,1,F244*E245)</f>
        <v>0.975421981426694</v>
      </c>
      <c r="G245" s="5" t="b">
        <f aca="false">B245&gt;=calc_cohort!C$2</f>
        <v>0</v>
      </c>
      <c r="H245" s="0" t="n">
        <f aca="false">IF(G245,1,0)</f>
        <v>0</v>
      </c>
      <c r="I245" s="0" t="n">
        <f aca="false">calc_cohort!$B$2*constant!$B$1*F245*H245</f>
        <v>0</v>
      </c>
      <c r="J245" s="0" t="n">
        <f aca="false">INDEX(table_spot_rate!B$1:B$2000,MATCH(A245,table_spot_rate!A$1:A$2000,0))</f>
        <v>0.0565884125451018</v>
      </c>
      <c r="K245" s="0" t="n">
        <f aca="false">(1+J245)^(-A245*constant!$B$1)</f>
        <v>0.328024791784541</v>
      </c>
      <c r="L245" s="0" t="n">
        <f aca="false">K245*I245</f>
        <v>0</v>
      </c>
    </row>
    <row r="246" customFormat="false" ht="12.8" hidden="false" customHeight="false" outlineLevel="0" collapsed="false">
      <c r="A246" s="0" t="n">
        <v>244</v>
      </c>
      <c r="B246" s="0" t="n">
        <f aca="false">calc_cohort!D$2+constant!$B$1*A246</f>
        <v>51.5333333333333</v>
      </c>
      <c r="C246" s="0" t="n">
        <f aca="false">_xlfn.FLOOR.MATH(B246)</f>
        <v>51</v>
      </c>
      <c r="D246" s="4" t="n">
        <f aca="false">INDEX(table_mortality_rate!$A$1:$C$2000,MATCH(C246,table_mortality_rate!$A$1:$A$2000,0),MATCH(calc_cohort!$E$2,table_mortality_rate!A$1:C$1,0))</f>
        <v>0.002809</v>
      </c>
      <c r="E246" s="0" t="n">
        <f aca="false">(1-D246)^constant!$B$1</f>
        <v>0.999765614752163</v>
      </c>
      <c r="F246" s="0" t="n">
        <f aca="false">IF(A246=0,1,F245*E246)</f>
        <v>0.975193356903832</v>
      </c>
      <c r="G246" s="5" t="b">
        <f aca="false">B246&gt;=calc_cohort!C$2</f>
        <v>0</v>
      </c>
      <c r="H246" s="0" t="n">
        <f aca="false">IF(G246,1,0)</f>
        <v>0</v>
      </c>
      <c r="I246" s="0" t="n">
        <f aca="false">calc_cohort!$B$2*constant!$B$1*F246*H246</f>
        <v>0</v>
      </c>
      <c r="J246" s="0" t="n">
        <f aca="false">INDEX(table_spot_rate!B$1:B$2000,MATCH(A246,table_spot_rate!A$1:A$2000,0))</f>
        <v>0.0543060761335246</v>
      </c>
      <c r="K246" s="0" t="n">
        <f aca="false">(1+J246)^(-A246*constant!$B$1)</f>
        <v>0.341200957719785</v>
      </c>
      <c r="L246" s="0" t="n">
        <f aca="false">K246*I246</f>
        <v>0</v>
      </c>
    </row>
    <row r="247" customFormat="false" ht="12.8" hidden="false" customHeight="false" outlineLevel="0" collapsed="false">
      <c r="A247" s="0" t="n">
        <v>245</v>
      </c>
      <c r="B247" s="0" t="n">
        <f aca="false">calc_cohort!D$2+constant!$B$1*A247</f>
        <v>51.6166666666667</v>
      </c>
      <c r="C247" s="0" t="n">
        <f aca="false">_xlfn.FLOOR.MATH(B247)</f>
        <v>51</v>
      </c>
      <c r="D247" s="4" t="n">
        <f aca="false">INDEX(table_mortality_rate!$A$1:$C$2000,MATCH(C247,table_mortality_rate!$A$1:$A$2000,0),MATCH(calc_cohort!$E$2,table_mortality_rate!A$1:C$1,0))</f>
        <v>0.002809</v>
      </c>
      <c r="E247" s="0" t="n">
        <f aca="false">(1-D247)^constant!$B$1</f>
        <v>0.999765614752163</v>
      </c>
      <c r="F247" s="0" t="n">
        <f aca="false">IF(A247=0,1,F246*E247)</f>
        <v>0.974964785967186</v>
      </c>
      <c r="G247" s="5" t="b">
        <f aca="false">B247&gt;=calc_cohort!C$2</f>
        <v>0</v>
      </c>
      <c r="H247" s="0" t="n">
        <f aca="false">IF(G247,1,0)</f>
        <v>0</v>
      </c>
      <c r="I247" s="0" t="n">
        <f aca="false">calc_cohort!$B$2*constant!$B$1*F247*H247</f>
        <v>0</v>
      </c>
      <c r="J247" s="0" t="n">
        <f aca="false">INDEX(table_spot_rate!B$1:B$2000,MATCH(A247,table_spot_rate!A$1:A$2000,0))</f>
        <v>0.0558515747283096</v>
      </c>
      <c r="K247" s="0" t="n">
        <f aca="false">(1+J247)^(-A247*constant!$B$1)</f>
        <v>0.32969171254508</v>
      </c>
      <c r="L247" s="0" t="n">
        <f aca="false">K247*I247</f>
        <v>0</v>
      </c>
    </row>
    <row r="248" customFormat="false" ht="12.8" hidden="false" customHeight="false" outlineLevel="0" collapsed="false">
      <c r="A248" s="0" t="n">
        <v>246</v>
      </c>
      <c r="B248" s="0" t="n">
        <f aca="false">calc_cohort!D$2+constant!$B$1*A248</f>
        <v>51.7</v>
      </c>
      <c r="C248" s="0" t="n">
        <f aca="false">_xlfn.FLOOR.MATH(B248)</f>
        <v>51</v>
      </c>
      <c r="D248" s="4" t="n">
        <f aca="false">INDEX(table_mortality_rate!$A$1:$C$2000,MATCH(C248,table_mortality_rate!$A$1:$A$2000,0),MATCH(calc_cohort!$E$2,table_mortality_rate!A$1:C$1,0))</f>
        <v>0.002809</v>
      </c>
      <c r="E248" s="0" t="n">
        <f aca="false">(1-D248)^constant!$B$1</f>
        <v>0.999765614752163</v>
      </c>
      <c r="F248" s="0" t="n">
        <f aca="false">IF(A248=0,1,F247*E248)</f>
        <v>0.974736268604195</v>
      </c>
      <c r="G248" s="5" t="b">
        <f aca="false">B248&gt;=calc_cohort!C$2</f>
        <v>0</v>
      </c>
      <c r="H248" s="0" t="n">
        <f aca="false">IF(G248,1,0)</f>
        <v>0</v>
      </c>
      <c r="I248" s="0" t="n">
        <f aca="false">calc_cohort!$B$2*constant!$B$1*F248*H248</f>
        <v>0</v>
      </c>
      <c r="J248" s="0" t="n">
        <f aca="false">INDEX(table_spot_rate!B$1:B$2000,MATCH(A248,table_spot_rate!A$1:A$2000,0))</f>
        <v>0.0592558822699268</v>
      </c>
      <c r="K248" s="0" t="n">
        <f aca="false">(1+J248)^(-A248*constant!$B$1)</f>
        <v>0.307242909879522</v>
      </c>
      <c r="L248" s="0" t="n">
        <f aca="false">K248*I248</f>
        <v>0</v>
      </c>
    </row>
    <row r="249" customFormat="false" ht="12.8" hidden="false" customHeight="false" outlineLevel="0" collapsed="false">
      <c r="A249" s="0" t="n">
        <v>247</v>
      </c>
      <c r="B249" s="0" t="n">
        <f aca="false">calc_cohort!D$2+constant!$B$1*A249</f>
        <v>51.7833333333333</v>
      </c>
      <c r="C249" s="0" t="n">
        <f aca="false">_xlfn.FLOOR.MATH(B249)</f>
        <v>51</v>
      </c>
      <c r="D249" s="4" t="n">
        <f aca="false">INDEX(table_mortality_rate!$A$1:$C$2000,MATCH(C249,table_mortality_rate!$A$1:$A$2000,0),MATCH(calc_cohort!$E$2,table_mortality_rate!A$1:C$1,0))</f>
        <v>0.002809</v>
      </c>
      <c r="E249" s="0" t="n">
        <f aca="false">(1-D249)^constant!$B$1</f>
        <v>0.999765614752163</v>
      </c>
      <c r="F249" s="0" t="n">
        <f aca="false">IF(A249=0,1,F248*E249)</f>
        <v>0.974507804802303</v>
      </c>
      <c r="G249" s="5" t="b">
        <f aca="false">B249&gt;=calc_cohort!C$2</f>
        <v>0</v>
      </c>
      <c r="H249" s="0" t="n">
        <f aca="false">IF(G249,1,0)</f>
        <v>0</v>
      </c>
      <c r="I249" s="0" t="n">
        <f aca="false">calc_cohort!$B$2*constant!$B$1*F249*H249</f>
        <v>0</v>
      </c>
      <c r="J249" s="0" t="n">
        <f aca="false">INDEX(table_spot_rate!B$1:B$2000,MATCH(A249,table_spot_rate!A$1:A$2000,0))</f>
        <v>0.0517367789238391</v>
      </c>
      <c r="K249" s="0" t="n">
        <f aca="false">(1+J249)^(-A249*constant!$B$1)</f>
        <v>0.354062273897884</v>
      </c>
      <c r="L249" s="0" t="n">
        <f aca="false">K249*I249</f>
        <v>0</v>
      </c>
    </row>
    <row r="250" customFormat="false" ht="12.8" hidden="false" customHeight="false" outlineLevel="0" collapsed="false">
      <c r="A250" s="0" t="n">
        <v>248</v>
      </c>
      <c r="B250" s="0" t="n">
        <f aca="false">calc_cohort!D$2+constant!$B$1*A250</f>
        <v>51.8666666666667</v>
      </c>
      <c r="C250" s="0" t="n">
        <f aca="false">_xlfn.FLOOR.MATH(B250)</f>
        <v>51</v>
      </c>
      <c r="D250" s="4" t="n">
        <f aca="false">INDEX(table_mortality_rate!$A$1:$C$2000,MATCH(C250,table_mortality_rate!$A$1:$A$2000,0),MATCH(calc_cohort!$E$2,table_mortality_rate!A$1:C$1,0))</f>
        <v>0.002809</v>
      </c>
      <c r="E250" s="0" t="n">
        <f aca="false">(1-D250)^constant!$B$1</f>
        <v>0.999765614752163</v>
      </c>
      <c r="F250" s="0" t="n">
        <f aca="false">IF(A250=0,1,F249*E250)</f>
        <v>0.974279394548956</v>
      </c>
      <c r="G250" s="5" t="b">
        <f aca="false">B250&gt;=calc_cohort!C$2</f>
        <v>0</v>
      </c>
      <c r="H250" s="0" t="n">
        <f aca="false">IF(G250,1,0)</f>
        <v>0</v>
      </c>
      <c r="I250" s="0" t="n">
        <f aca="false">calc_cohort!$B$2*constant!$B$1*F250*H250</f>
        <v>0</v>
      </c>
      <c r="J250" s="0" t="n">
        <f aca="false">INDEX(table_spot_rate!B$1:B$2000,MATCH(A250,table_spot_rate!A$1:A$2000,0))</f>
        <v>0.0553772704072081</v>
      </c>
      <c r="K250" s="0" t="n">
        <f aca="false">(1+J250)^(-A250*constant!$B$1)</f>
        <v>0.328276739208119</v>
      </c>
      <c r="L250" s="0" t="n">
        <f aca="false">K250*I250</f>
        <v>0</v>
      </c>
    </row>
    <row r="251" customFormat="false" ht="12.8" hidden="false" customHeight="false" outlineLevel="0" collapsed="false">
      <c r="A251" s="0" t="n">
        <v>249</v>
      </c>
      <c r="B251" s="0" t="n">
        <f aca="false">calc_cohort!D$2+constant!$B$1*A251</f>
        <v>51.95</v>
      </c>
      <c r="C251" s="0" t="n">
        <f aca="false">_xlfn.FLOOR.MATH(B251)</f>
        <v>51</v>
      </c>
      <c r="D251" s="4" t="n">
        <f aca="false">INDEX(table_mortality_rate!$A$1:$C$2000,MATCH(C251,table_mortality_rate!$A$1:$A$2000,0),MATCH(calc_cohort!$E$2,table_mortality_rate!A$1:C$1,0))</f>
        <v>0.002809</v>
      </c>
      <c r="E251" s="0" t="n">
        <f aca="false">(1-D251)^constant!$B$1</f>
        <v>0.999765614752163</v>
      </c>
      <c r="F251" s="0" t="n">
        <f aca="false">IF(A251=0,1,F250*E251)</f>
        <v>0.974051037831602</v>
      </c>
      <c r="G251" s="5" t="b">
        <f aca="false">B251&gt;=calc_cohort!C$2</f>
        <v>0</v>
      </c>
      <c r="H251" s="0" t="n">
        <f aca="false">IF(G251,1,0)</f>
        <v>0</v>
      </c>
      <c r="I251" s="0" t="n">
        <f aca="false">calc_cohort!$B$2*constant!$B$1*F251*H251</f>
        <v>0</v>
      </c>
      <c r="J251" s="0" t="n">
        <f aca="false">INDEX(table_spot_rate!B$1:B$2000,MATCH(A251,table_spot_rate!A$1:A$2000,0))</f>
        <v>0.056469560136749</v>
      </c>
      <c r="K251" s="0" t="n">
        <f aca="false">(1+J251)^(-A251*constant!$B$1)</f>
        <v>0.319865567597998</v>
      </c>
      <c r="L251" s="0" t="n">
        <f aca="false">K251*I251</f>
        <v>0</v>
      </c>
    </row>
    <row r="252" customFormat="false" ht="12.8" hidden="false" customHeight="false" outlineLevel="0" collapsed="false">
      <c r="A252" s="0" t="n">
        <v>250</v>
      </c>
      <c r="B252" s="0" t="n">
        <f aca="false">calc_cohort!D$2+constant!$B$1*A252</f>
        <v>52.0333333333333</v>
      </c>
      <c r="C252" s="0" t="n">
        <f aca="false">_xlfn.FLOOR.MATH(B252)</f>
        <v>52</v>
      </c>
      <c r="D252" s="4" t="n">
        <f aca="false">INDEX(table_mortality_rate!$A$1:$C$2000,MATCH(C252,table_mortality_rate!$A$1:$A$2000,0),MATCH(calc_cohort!$E$2,table_mortality_rate!A$1:C$1,0))</f>
        <v>0.003152</v>
      </c>
      <c r="E252" s="0" t="n">
        <f aca="false">(1-D252)^constant!$B$1</f>
        <v>0.999736953101635</v>
      </c>
      <c r="F252" s="0" t="n">
        <f aca="false">IF(A252=0,1,F251*E252)</f>
        <v>0.973794816727251</v>
      </c>
      <c r="G252" s="5" t="b">
        <f aca="false">B252&gt;=calc_cohort!C$2</f>
        <v>0</v>
      </c>
      <c r="H252" s="0" t="n">
        <f aca="false">IF(G252,1,0)</f>
        <v>0</v>
      </c>
      <c r="I252" s="0" t="n">
        <f aca="false">calc_cohort!$B$2*constant!$B$1*F252*H252</f>
        <v>0</v>
      </c>
      <c r="J252" s="0" t="n">
        <f aca="false">INDEX(table_spot_rate!B$1:B$2000,MATCH(A252,table_spot_rate!A$1:A$2000,0))</f>
        <v>0.0579338727416632</v>
      </c>
      <c r="K252" s="0" t="n">
        <f aca="false">(1+J252)^(-A252*constant!$B$1)</f>
        <v>0.309348096137145</v>
      </c>
      <c r="L252" s="0" t="n">
        <f aca="false">K252*I252</f>
        <v>0</v>
      </c>
    </row>
    <row r="253" customFormat="false" ht="12.8" hidden="false" customHeight="false" outlineLevel="0" collapsed="false">
      <c r="A253" s="0" t="n">
        <v>251</v>
      </c>
      <c r="B253" s="0" t="n">
        <f aca="false">calc_cohort!D$2+constant!$B$1*A253</f>
        <v>52.1166666666667</v>
      </c>
      <c r="C253" s="0" t="n">
        <f aca="false">_xlfn.FLOOR.MATH(B253)</f>
        <v>52</v>
      </c>
      <c r="D253" s="4" t="n">
        <f aca="false">INDEX(table_mortality_rate!$A$1:$C$2000,MATCH(C253,table_mortality_rate!$A$1:$A$2000,0),MATCH(calc_cohort!$E$2,table_mortality_rate!A$1:C$1,0))</f>
        <v>0.003152</v>
      </c>
      <c r="E253" s="0" t="n">
        <f aca="false">(1-D253)^constant!$B$1</f>
        <v>0.999736953101635</v>
      </c>
      <c r="F253" s="0" t="n">
        <f aca="false">IF(A253=0,1,F252*E253)</f>
        <v>0.973538663021068</v>
      </c>
      <c r="G253" s="5" t="b">
        <f aca="false">B253&gt;=calc_cohort!C$2</f>
        <v>0</v>
      </c>
      <c r="H253" s="0" t="n">
        <f aca="false">IF(G253,1,0)</f>
        <v>0</v>
      </c>
      <c r="I253" s="0" t="n">
        <f aca="false">calc_cohort!$B$2*constant!$B$1*F253*H253</f>
        <v>0</v>
      </c>
      <c r="J253" s="0" t="n">
        <f aca="false">INDEX(table_spot_rate!B$1:B$2000,MATCH(A253,table_spot_rate!A$1:A$2000,0))</f>
        <v>0.0575307137123217</v>
      </c>
      <c r="K253" s="0" t="n">
        <f aca="false">(1+J253)^(-A253*constant!$B$1)</f>
        <v>0.310364213171488</v>
      </c>
      <c r="L253" s="0" t="n">
        <f aca="false">K253*I253</f>
        <v>0</v>
      </c>
    </row>
    <row r="254" customFormat="false" ht="12.8" hidden="false" customHeight="false" outlineLevel="0" collapsed="false">
      <c r="A254" s="0" t="n">
        <v>252</v>
      </c>
      <c r="B254" s="0" t="n">
        <f aca="false">calc_cohort!D$2+constant!$B$1*A254</f>
        <v>52.2</v>
      </c>
      <c r="C254" s="0" t="n">
        <f aca="false">_xlfn.FLOOR.MATH(B254)</f>
        <v>52</v>
      </c>
      <c r="D254" s="4" t="n">
        <f aca="false">INDEX(table_mortality_rate!$A$1:$C$2000,MATCH(C254,table_mortality_rate!$A$1:$A$2000,0),MATCH(calc_cohort!$E$2,table_mortality_rate!A$1:C$1,0))</f>
        <v>0.003152</v>
      </c>
      <c r="E254" s="0" t="n">
        <f aca="false">(1-D254)^constant!$B$1</f>
        <v>0.999736953101635</v>
      </c>
      <c r="F254" s="0" t="n">
        <f aca="false">IF(A254=0,1,F253*E254)</f>
        <v>0.973282576695322</v>
      </c>
      <c r="G254" s="5" t="b">
        <f aca="false">B254&gt;=calc_cohort!C$2</f>
        <v>0</v>
      </c>
      <c r="H254" s="0" t="n">
        <f aca="false">IF(G254,1,0)</f>
        <v>0</v>
      </c>
      <c r="I254" s="0" t="n">
        <f aca="false">calc_cohort!$B$2*constant!$B$1*F254*H254</f>
        <v>0</v>
      </c>
      <c r="J254" s="0" t="n">
        <f aca="false">INDEX(table_spot_rate!B$1:B$2000,MATCH(A254,table_spot_rate!A$1:A$2000,0))</f>
        <v>0.0593471389029428</v>
      </c>
      <c r="K254" s="0" t="n">
        <f aca="false">(1+J254)^(-A254*constant!$B$1)</f>
        <v>0.297985918996095</v>
      </c>
      <c r="L254" s="0" t="n">
        <f aca="false">K254*I254</f>
        <v>0</v>
      </c>
    </row>
    <row r="255" customFormat="false" ht="12.8" hidden="false" customHeight="false" outlineLevel="0" collapsed="false">
      <c r="A255" s="0" t="n">
        <v>253</v>
      </c>
      <c r="B255" s="0" t="n">
        <f aca="false">calc_cohort!D$2+constant!$B$1*A255</f>
        <v>52.2833333333333</v>
      </c>
      <c r="C255" s="0" t="n">
        <f aca="false">_xlfn.FLOOR.MATH(B255)</f>
        <v>52</v>
      </c>
      <c r="D255" s="4" t="n">
        <f aca="false">INDEX(table_mortality_rate!$A$1:$C$2000,MATCH(C255,table_mortality_rate!$A$1:$A$2000,0),MATCH(calc_cohort!$E$2,table_mortality_rate!A$1:C$1,0))</f>
        <v>0.003152</v>
      </c>
      <c r="E255" s="0" t="n">
        <f aca="false">(1-D255)^constant!$B$1</f>
        <v>0.999736953101635</v>
      </c>
      <c r="F255" s="0" t="n">
        <f aca="false">IF(A255=0,1,F254*E255)</f>
        <v>0.973026557732289</v>
      </c>
      <c r="G255" s="5" t="b">
        <f aca="false">B255&gt;=calc_cohort!C$2</f>
        <v>0</v>
      </c>
      <c r="H255" s="0" t="n">
        <f aca="false">IF(G255,1,0)</f>
        <v>0</v>
      </c>
      <c r="I255" s="0" t="n">
        <f aca="false">calc_cohort!$B$2*constant!$B$1*F255*H255</f>
        <v>0</v>
      </c>
      <c r="J255" s="0" t="n">
        <f aca="false">INDEX(table_spot_rate!B$1:B$2000,MATCH(A255,table_spot_rate!A$1:A$2000,0))</f>
        <v>0.0543948606580365</v>
      </c>
      <c r="K255" s="0" t="n">
        <f aca="false">(1+J255)^(-A255*constant!$B$1)</f>
        <v>0.327351376385193</v>
      </c>
      <c r="L255" s="0" t="n">
        <f aca="false">K255*I255</f>
        <v>0</v>
      </c>
    </row>
    <row r="256" customFormat="false" ht="12.8" hidden="false" customHeight="false" outlineLevel="0" collapsed="false">
      <c r="A256" s="0" t="n">
        <v>254</v>
      </c>
      <c r="B256" s="0" t="n">
        <f aca="false">calc_cohort!D$2+constant!$B$1*A256</f>
        <v>52.3666666666667</v>
      </c>
      <c r="C256" s="0" t="n">
        <f aca="false">_xlfn.FLOOR.MATH(B256)</f>
        <v>52</v>
      </c>
      <c r="D256" s="4" t="n">
        <f aca="false">INDEX(table_mortality_rate!$A$1:$C$2000,MATCH(C256,table_mortality_rate!$A$1:$A$2000,0),MATCH(calc_cohort!$E$2,table_mortality_rate!A$1:C$1,0))</f>
        <v>0.003152</v>
      </c>
      <c r="E256" s="0" t="n">
        <f aca="false">(1-D256)^constant!$B$1</f>
        <v>0.999736953101635</v>
      </c>
      <c r="F256" s="0" t="n">
        <f aca="false">IF(A256=0,1,F255*E256)</f>
        <v>0.972770606114251</v>
      </c>
      <c r="G256" s="5" t="b">
        <f aca="false">B256&gt;=calc_cohort!C$2</f>
        <v>0</v>
      </c>
      <c r="H256" s="0" t="n">
        <f aca="false">IF(G256,1,0)</f>
        <v>0</v>
      </c>
      <c r="I256" s="0" t="n">
        <f aca="false">calc_cohort!$B$2*constant!$B$1*F256*H256</f>
        <v>0</v>
      </c>
      <c r="J256" s="0" t="n">
        <f aca="false">INDEX(table_spot_rate!B$1:B$2000,MATCH(A256,table_spot_rate!A$1:A$2000,0))</f>
        <v>0.0522741537764838</v>
      </c>
      <c r="K256" s="0" t="n">
        <f aca="false">(1+J256)^(-A256*constant!$B$1)</f>
        <v>0.340098628519505</v>
      </c>
      <c r="L256" s="0" t="n">
        <f aca="false">K256*I256</f>
        <v>0</v>
      </c>
    </row>
    <row r="257" customFormat="false" ht="12.8" hidden="false" customHeight="false" outlineLevel="0" collapsed="false">
      <c r="A257" s="0" t="n">
        <v>255</v>
      </c>
      <c r="B257" s="0" t="n">
        <f aca="false">calc_cohort!D$2+constant!$B$1*A257</f>
        <v>52.45</v>
      </c>
      <c r="C257" s="0" t="n">
        <f aca="false">_xlfn.FLOOR.MATH(B257)</f>
        <v>52</v>
      </c>
      <c r="D257" s="4" t="n">
        <f aca="false">INDEX(table_mortality_rate!$A$1:$C$2000,MATCH(C257,table_mortality_rate!$A$1:$A$2000,0),MATCH(calc_cohort!$E$2,table_mortality_rate!A$1:C$1,0))</f>
        <v>0.003152</v>
      </c>
      <c r="E257" s="0" t="n">
        <f aca="false">(1-D257)^constant!$B$1</f>
        <v>0.999736953101635</v>
      </c>
      <c r="F257" s="0" t="n">
        <f aca="false">IF(A257=0,1,F256*E257)</f>
        <v>0.972514721823492</v>
      </c>
      <c r="G257" s="5" t="b">
        <f aca="false">B257&gt;=calc_cohort!C$2</f>
        <v>0</v>
      </c>
      <c r="H257" s="0" t="n">
        <f aca="false">IF(G257,1,0)</f>
        <v>0</v>
      </c>
      <c r="I257" s="0" t="n">
        <f aca="false">calc_cohort!$B$2*constant!$B$1*F257*H257</f>
        <v>0</v>
      </c>
      <c r="J257" s="0" t="n">
        <f aca="false">INDEX(table_spot_rate!B$1:B$2000,MATCH(A257,table_spot_rate!A$1:A$2000,0))</f>
        <v>0.053287640865749</v>
      </c>
      <c r="K257" s="0" t="n">
        <f aca="false">(1+J257)^(-A257*constant!$B$1)</f>
        <v>0.331800089949912</v>
      </c>
      <c r="L257" s="0" t="n">
        <f aca="false">K257*I257</f>
        <v>0</v>
      </c>
    </row>
    <row r="258" customFormat="false" ht="12.8" hidden="false" customHeight="false" outlineLevel="0" collapsed="false">
      <c r="A258" s="0" t="n">
        <v>256</v>
      </c>
      <c r="B258" s="0" t="n">
        <f aca="false">calc_cohort!D$2+constant!$B$1*A258</f>
        <v>52.5333333333333</v>
      </c>
      <c r="C258" s="0" t="n">
        <f aca="false">_xlfn.FLOOR.MATH(B258)</f>
        <v>52</v>
      </c>
      <c r="D258" s="4" t="n">
        <f aca="false">INDEX(table_mortality_rate!$A$1:$C$2000,MATCH(C258,table_mortality_rate!$A$1:$A$2000,0),MATCH(calc_cohort!$E$2,table_mortality_rate!A$1:C$1,0))</f>
        <v>0.003152</v>
      </c>
      <c r="E258" s="0" t="n">
        <f aca="false">(1-D258)^constant!$B$1</f>
        <v>0.999736953101635</v>
      </c>
      <c r="F258" s="0" t="n">
        <f aca="false">IF(A258=0,1,F257*E258)</f>
        <v>0.972258904842302</v>
      </c>
      <c r="G258" s="5" t="b">
        <f aca="false">B258&gt;=calc_cohort!C$2</f>
        <v>0</v>
      </c>
      <c r="H258" s="0" t="n">
        <f aca="false">IF(G258,1,0)</f>
        <v>0</v>
      </c>
      <c r="I258" s="0" t="n">
        <f aca="false">calc_cohort!$B$2*constant!$B$1*F258*H258</f>
        <v>0</v>
      </c>
      <c r="J258" s="0" t="n">
        <f aca="false">INDEX(table_spot_rate!B$1:B$2000,MATCH(A258,table_spot_rate!A$1:A$2000,0))</f>
        <v>0.0554371127222346</v>
      </c>
      <c r="K258" s="0" t="n">
        <f aca="false">(1+J258)^(-A258*constant!$B$1)</f>
        <v>0.316307598002178</v>
      </c>
      <c r="L258" s="0" t="n">
        <f aca="false">K258*I258</f>
        <v>0</v>
      </c>
    </row>
    <row r="259" customFormat="false" ht="12.8" hidden="false" customHeight="false" outlineLevel="0" collapsed="false">
      <c r="A259" s="0" t="n">
        <v>257</v>
      </c>
      <c r="B259" s="0" t="n">
        <f aca="false">calc_cohort!D$2+constant!$B$1*A259</f>
        <v>52.6166666666667</v>
      </c>
      <c r="C259" s="0" t="n">
        <f aca="false">_xlfn.FLOOR.MATH(B259)</f>
        <v>52</v>
      </c>
      <c r="D259" s="4" t="n">
        <f aca="false">INDEX(table_mortality_rate!$A$1:$C$2000,MATCH(C259,table_mortality_rate!$A$1:$A$2000,0),MATCH(calc_cohort!$E$2,table_mortality_rate!A$1:C$1,0))</f>
        <v>0.003152</v>
      </c>
      <c r="E259" s="0" t="n">
        <f aca="false">(1-D259)^constant!$B$1</f>
        <v>0.999736953101635</v>
      </c>
      <c r="F259" s="0" t="n">
        <f aca="false">IF(A259=0,1,F258*E259)</f>
        <v>0.972003155152976</v>
      </c>
      <c r="G259" s="5" t="b">
        <f aca="false">B259&gt;=calc_cohort!C$2</f>
        <v>0</v>
      </c>
      <c r="H259" s="0" t="n">
        <f aca="false">IF(G259,1,0)</f>
        <v>0</v>
      </c>
      <c r="I259" s="0" t="n">
        <f aca="false">calc_cohort!$B$2*constant!$B$1*F259*H259</f>
        <v>0</v>
      </c>
      <c r="J259" s="0" t="n">
        <f aca="false">INDEX(table_spot_rate!B$1:B$2000,MATCH(A259,table_spot_rate!A$1:A$2000,0))</f>
        <v>0.0544121649759909</v>
      </c>
      <c r="K259" s="0" t="n">
        <f aca="false">(1+J259)^(-A259*constant!$B$1)</f>
        <v>0.321509467198369</v>
      </c>
      <c r="L259" s="0" t="n">
        <f aca="false">K259*I259</f>
        <v>0</v>
      </c>
    </row>
    <row r="260" customFormat="false" ht="12.8" hidden="false" customHeight="false" outlineLevel="0" collapsed="false">
      <c r="A260" s="0" t="n">
        <v>258</v>
      </c>
      <c r="B260" s="0" t="n">
        <f aca="false">calc_cohort!D$2+constant!$B$1*A260</f>
        <v>52.7</v>
      </c>
      <c r="C260" s="0" t="n">
        <f aca="false">_xlfn.FLOOR.MATH(B260)</f>
        <v>52</v>
      </c>
      <c r="D260" s="4" t="n">
        <f aca="false">INDEX(table_mortality_rate!$A$1:$C$2000,MATCH(C260,table_mortality_rate!$A$1:$A$2000,0),MATCH(calc_cohort!$E$2,table_mortality_rate!A$1:C$1,0))</f>
        <v>0.003152</v>
      </c>
      <c r="E260" s="0" t="n">
        <f aca="false">(1-D260)^constant!$B$1</f>
        <v>0.999736953101635</v>
      </c>
      <c r="F260" s="0" t="n">
        <f aca="false">IF(A260=0,1,F259*E260)</f>
        <v>0.971747472737812</v>
      </c>
      <c r="G260" s="5" t="b">
        <f aca="false">B260&gt;=calc_cohort!C$2</f>
        <v>0</v>
      </c>
      <c r="H260" s="0" t="n">
        <f aca="false">IF(G260,1,0)</f>
        <v>0</v>
      </c>
      <c r="I260" s="0" t="n">
        <f aca="false">calc_cohort!$B$2*constant!$B$1*F260*H260</f>
        <v>0</v>
      </c>
      <c r="J260" s="0" t="n">
        <f aca="false">INDEX(table_spot_rate!B$1:B$2000,MATCH(A260,table_spot_rate!A$1:A$2000,0))</f>
        <v>0.0579270559780634</v>
      </c>
      <c r="K260" s="0" t="n">
        <f aca="false">(1+J260)^(-A260*constant!$B$1)</f>
        <v>0.297990165122004</v>
      </c>
      <c r="L260" s="0" t="n">
        <f aca="false">K260*I260</f>
        <v>0</v>
      </c>
    </row>
    <row r="261" customFormat="false" ht="12.8" hidden="false" customHeight="false" outlineLevel="0" collapsed="false">
      <c r="A261" s="0" t="n">
        <v>259</v>
      </c>
      <c r="B261" s="0" t="n">
        <f aca="false">calc_cohort!D$2+constant!$B$1*A261</f>
        <v>52.7833333333333</v>
      </c>
      <c r="C261" s="0" t="n">
        <f aca="false">_xlfn.FLOOR.MATH(B261)</f>
        <v>52</v>
      </c>
      <c r="D261" s="4" t="n">
        <f aca="false">INDEX(table_mortality_rate!$A$1:$C$2000,MATCH(C261,table_mortality_rate!$A$1:$A$2000,0),MATCH(calc_cohort!$E$2,table_mortality_rate!A$1:C$1,0))</f>
        <v>0.003152</v>
      </c>
      <c r="E261" s="0" t="n">
        <f aca="false">(1-D261)^constant!$B$1</f>
        <v>0.999736953101635</v>
      </c>
      <c r="F261" s="0" t="n">
        <f aca="false">IF(A261=0,1,F260*E261)</f>
        <v>0.971491857579115</v>
      </c>
      <c r="G261" s="5" t="b">
        <f aca="false">B261&gt;=calc_cohort!C$2</f>
        <v>0</v>
      </c>
      <c r="H261" s="0" t="n">
        <f aca="false">IF(G261,1,0)</f>
        <v>0</v>
      </c>
      <c r="I261" s="0" t="n">
        <f aca="false">calc_cohort!$B$2*constant!$B$1*F261*H261</f>
        <v>0</v>
      </c>
      <c r="J261" s="0" t="n">
        <f aca="false">INDEX(table_spot_rate!B$1:B$2000,MATCH(A261,table_spot_rate!A$1:A$2000,0))</f>
        <v>0.0509193766431737</v>
      </c>
      <c r="K261" s="0" t="n">
        <f aca="false">(1+J261)^(-A261*constant!$B$1)</f>
        <v>0.34234221775779</v>
      </c>
      <c r="L261" s="0" t="n">
        <f aca="false">K261*I261</f>
        <v>0</v>
      </c>
    </row>
    <row r="262" customFormat="false" ht="12.8" hidden="false" customHeight="false" outlineLevel="0" collapsed="false">
      <c r="A262" s="0" t="n">
        <v>260</v>
      </c>
      <c r="B262" s="0" t="n">
        <f aca="false">calc_cohort!D$2+constant!$B$1*A262</f>
        <v>52.8666666666667</v>
      </c>
      <c r="C262" s="0" t="n">
        <f aca="false">_xlfn.FLOOR.MATH(B262)</f>
        <v>52</v>
      </c>
      <c r="D262" s="4" t="n">
        <f aca="false">INDEX(table_mortality_rate!$A$1:$C$2000,MATCH(C262,table_mortality_rate!$A$1:$A$2000,0),MATCH(calc_cohort!$E$2,table_mortality_rate!A$1:C$1,0))</f>
        <v>0.003152</v>
      </c>
      <c r="E262" s="0" t="n">
        <f aca="false">(1-D262)^constant!$B$1</f>
        <v>0.999736953101635</v>
      </c>
      <c r="F262" s="0" t="n">
        <f aca="false">IF(A262=0,1,F261*E262)</f>
        <v>0.971236309659192</v>
      </c>
      <c r="G262" s="5" t="b">
        <f aca="false">B262&gt;=calc_cohort!C$2</f>
        <v>0</v>
      </c>
      <c r="H262" s="0" t="n">
        <f aca="false">IF(G262,1,0)</f>
        <v>0</v>
      </c>
      <c r="I262" s="0" t="n">
        <f aca="false">calc_cohort!$B$2*constant!$B$1*F262*H262</f>
        <v>0</v>
      </c>
      <c r="J262" s="0" t="n">
        <f aca="false">INDEX(table_spot_rate!B$1:B$2000,MATCH(A262,table_spot_rate!A$1:A$2000,0))</f>
        <v>0.0563559535600526</v>
      </c>
      <c r="K262" s="0" t="n">
        <f aca="false">(1+J262)^(-A262*constant!$B$1)</f>
        <v>0.304867062729462</v>
      </c>
      <c r="L262" s="0" t="n">
        <f aca="false">K262*I262</f>
        <v>0</v>
      </c>
    </row>
    <row r="263" customFormat="false" ht="12.8" hidden="false" customHeight="false" outlineLevel="0" collapsed="false">
      <c r="A263" s="0" t="n">
        <v>261</v>
      </c>
      <c r="B263" s="0" t="n">
        <f aca="false">calc_cohort!D$2+constant!$B$1*A263</f>
        <v>52.95</v>
      </c>
      <c r="C263" s="0" t="n">
        <f aca="false">_xlfn.FLOOR.MATH(B263)</f>
        <v>52</v>
      </c>
      <c r="D263" s="4" t="n">
        <f aca="false">INDEX(table_mortality_rate!$A$1:$C$2000,MATCH(C263,table_mortality_rate!$A$1:$A$2000,0),MATCH(calc_cohort!$E$2,table_mortality_rate!A$1:C$1,0))</f>
        <v>0.003152</v>
      </c>
      <c r="E263" s="0" t="n">
        <f aca="false">(1-D263)^constant!$B$1</f>
        <v>0.999736953101635</v>
      </c>
      <c r="F263" s="0" t="n">
        <f aca="false">IF(A263=0,1,F262*E263)</f>
        <v>0.970980828960357</v>
      </c>
      <c r="G263" s="5" t="b">
        <f aca="false">B263&gt;=calc_cohort!C$2</f>
        <v>0</v>
      </c>
      <c r="H263" s="0" t="n">
        <f aca="false">IF(G263,1,0)</f>
        <v>0</v>
      </c>
      <c r="I263" s="0" t="n">
        <f aca="false">calc_cohort!$B$2*constant!$B$1*F263*H263</f>
        <v>0</v>
      </c>
      <c r="J263" s="0" t="n">
        <f aca="false">INDEX(table_spot_rate!B$1:B$2000,MATCH(A263,table_spot_rate!A$1:A$2000,0))</f>
        <v>0.050230785986942</v>
      </c>
      <c r="K263" s="0" t="n">
        <f aca="false">(1+J263)^(-A263*constant!$B$1)</f>
        <v>0.344394969788621</v>
      </c>
      <c r="L263" s="0" t="n">
        <f aca="false">K263*I263</f>
        <v>0</v>
      </c>
    </row>
    <row r="264" customFormat="false" ht="12.8" hidden="false" customHeight="false" outlineLevel="0" collapsed="false">
      <c r="A264" s="0" t="n">
        <v>262</v>
      </c>
      <c r="B264" s="0" t="n">
        <f aca="false">calc_cohort!D$2+constant!$B$1*A264</f>
        <v>53.0333333333333</v>
      </c>
      <c r="C264" s="0" t="n">
        <f aca="false">_xlfn.FLOOR.MATH(B264)</f>
        <v>53</v>
      </c>
      <c r="D264" s="4" t="n">
        <f aca="false">INDEX(table_mortality_rate!$A$1:$C$2000,MATCH(C264,table_mortality_rate!$A$1:$A$2000,0),MATCH(calc_cohort!$E$2,table_mortality_rate!A$1:C$1,0))</f>
        <v>0.003539</v>
      </c>
      <c r="E264" s="0" t="n">
        <f aca="false">(1-D264)^constant!$B$1</f>
        <v>0.999704603881812</v>
      </c>
      <c r="F264" s="0" t="n">
        <f aca="false">IF(A264=0,1,F263*E264)</f>
        <v>0.970694004992646</v>
      </c>
      <c r="G264" s="5" t="b">
        <f aca="false">B264&gt;=calc_cohort!C$2</f>
        <v>0</v>
      </c>
      <c r="H264" s="0" t="n">
        <f aca="false">IF(G264,1,0)</f>
        <v>0</v>
      </c>
      <c r="I264" s="0" t="n">
        <f aca="false">calc_cohort!$B$2*constant!$B$1*F264*H264</f>
        <v>0</v>
      </c>
      <c r="J264" s="0" t="n">
        <f aca="false">INDEX(table_spot_rate!B$1:B$2000,MATCH(A264,table_spot_rate!A$1:A$2000,0))</f>
        <v>0.0528911579187954</v>
      </c>
      <c r="K264" s="0" t="n">
        <f aca="false">(1+J264)^(-A264*constant!$B$1)</f>
        <v>0.324559295448279</v>
      </c>
      <c r="L264" s="0" t="n">
        <f aca="false">K264*I264</f>
        <v>0</v>
      </c>
    </row>
    <row r="265" customFormat="false" ht="12.8" hidden="false" customHeight="false" outlineLevel="0" collapsed="false">
      <c r="A265" s="0" t="n">
        <v>263</v>
      </c>
      <c r="B265" s="0" t="n">
        <f aca="false">calc_cohort!D$2+constant!$B$1*A265</f>
        <v>53.1166666666667</v>
      </c>
      <c r="C265" s="0" t="n">
        <f aca="false">_xlfn.FLOOR.MATH(B265)</f>
        <v>53</v>
      </c>
      <c r="D265" s="4" t="n">
        <f aca="false">INDEX(table_mortality_rate!$A$1:$C$2000,MATCH(C265,table_mortality_rate!$A$1:$A$2000,0),MATCH(calc_cohort!$E$2,table_mortality_rate!A$1:C$1,0))</f>
        <v>0.003539</v>
      </c>
      <c r="E265" s="0" t="n">
        <f aca="false">(1-D265)^constant!$B$1</f>
        <v>0.999704603881812</v>
      </c>
      <c r="F265" s="0" t="n">
        <f aca="false">IF(A265=0,1,F264*E265)</f>
        <v>0.970407265751623</v>
      </c>
      <c r="G265" s="5" t="b">
        <f aca="false">B265&gt;=calc_cohort!C$2</f>
        <v>0</v>
      </c>
      <c r="H265" s="0" t="n">
        <f aca="false">IF(G265,1,0)</f>
        <v>0</v>
      </c>
      <c r="I265" s="0" t="n">
        <f aca="false">calc_cohort!$B$2*constant!$B$1*F265*H265</f>
        <v>0</v>
      </c>
      <c r="J265" s="0" t="n">
        <f aca="false">INDEX(table_spot_rate!B$1:B$2000,MATCH(A265,table_spot_rate!A$1:A$2000,0))</f>
        <v>0.0533457100532961</v>
      </c>
      <c r="K265" s="0" t="n">
        <f aca="false">(1+J265)^(-A265*constant!$B$1)</f>
        <v>0.32012561969912</v>
      </c>
      <c r="L265" s="0" t="n">
        <f aca="false">K265*I265</f>
        <v>0</v>
      </c>
    </row>
    <row r="266" customFormat="false" ht="12.8" hidden="false" customHeight="false" outlineLevel="0" collapsed="false">
      <c r="A266" s="0" t="n">
        <v>264</v>
      </c>
      <c r="B266" s="0" t="n">
        <f aca="false">calc_cohort!D$2+constant!$B$1*A266</f>
        <v>53.2</v>
      </c>
      <c r="C266" s="0" t="n">
        <f aca="false">_xlfn.FLOOR.MATH(B266)</f>
        <v>53</v>
      </c>
      <c r="D266" s="4" t="n">
        <f aca="false">INDEX(table_mortality_rate!$A$1:$C$2000,MATCH(C266,table_mortality_rate!$A$1:$A$2000,0),MATCH(calc_cohort!$E$2,table_mortality_rate!A$1:C$1,0))</f>
        <v>0.003539</v>
      </c>
      <c r="E266" s="0" t="n">
        <f aca="false">(1-D266)^constant!$B$1</f>
        <v>0.999704603881812</v>
      </c>
      <c r="F266" s="0" t="n">
        <f aca="false">IF(A266=0,1,F265*E266)</f>
        <v>0.970120611212258</v>
      </c>
      <c r="G266" s="5" t="b">
        <f aca="false">B266&gt;=calc_cohort!C$2</f>
        <v>0</v>
      </c>
      <c r="H266" s="0" t="n">
        <f aca="false">IF(G266,1,0)</f>
        <v>0</v>
      </c>
      <c r="I266" s="0" t="n">
        <f aca="false">calc_cohort!$B$2*constant!$B$1*F266*H266</f>
        <v>0</v>
      </c>
      <c r="J266" s="0" t="n">
        <f aca="false">INDEX(table_spot_rate!B$1:B$2000,MATCH(A266,table_spot_rate!A$1:A$2000,0))</f>
        <v>0.0556926945327956</v>
      </c>
      <c r="K266" s="0" t="n">
        <f aca="false">(1+J266)^(-A266*constant!$B$1)</f>
        <v>0.303511145087505</v>
      </c>
      <c r="L266" s="0" t="n">
        <f aca="false">K266*I266</f>
        <v>0</v>
      </c>
    </row>
    <row r="267" customFormat="false" ht="12.8" hidden="false" customHeight="false" outlineLevel="0" collapsed="false">
      <c r="A267" s="0" t="n">
        <v>265</v>
      </c>
      <c r="B267" s="0" t="n">
        <f aca="false">calc_cohort!D$2+constant!$B$1*A267</f>
        <v>53.2833333333333</v>
      </c>
      <c r="C267" s="0" t="n">
        <f aca="false">_xlfn.FLOOR.MATH(B267)</f>
        <v>53</v>
      </c>
      <c r="D267" s="4" t="n">
        <f aca="false">INDEX(table_mortality_rate!$A$1:$C$2000,MATCH(C267,table_mortality_rate!$A$1:$A$2000,0),MATCH(calc_cohort!$E$2,table_mortality_rate!A$1:C$1,0))</f>
        <v>0.003539</v>
      </c>
      <c r="E267" s="0" t="n">
        <f aca="false">(1-D267)^constant!$B$1</f>
        <v>0.999704603881812</v>
      </c>
      <c r="F267" s="0" t="n">
        <f aca="false">IF(A267=0,1,F266*E267)</f>
        <v>0.969834041349531</v>
      </c>
      <c r="G267" s="5" t="b">
        <f aca="false">B267&gt;=calc_cohort!C$2</f>
        <v>0</v>
      </c>
      <c r="H267" s="0" t="n">
        <f aca="false">IF(G267,1,0)</f>
        <v>0</v>
      </c>
      <c r="I267" s="0" t="n">
        <f aca="false">calc_cohort!$B$2*constant!$B$1*F267*H267</f>
        <v>0</v>
      </c>
      <c r="J267" s="0" t="n">
        <f aca="false">INDEX(table_spot_rate!B$1:B$2000,MATCH(A267,table_spot_rate!A$1:A$2000,0))</f>
        <v>0.0511953609932211</v>
      </c>
      <c r="K267" s="0" t="n">
        <f aca="false">(1+J267)^(-A267*constant!$B$1)</f>
        <v>0.332014814876466</v>
      </c>
      <c r="L267" s="0" t="n">
        <f aca="false">K267*I267</f>
        <v>0</v>
      </c>
    </row>
    <row r="268" customFormat="false" ht="12.8" hidden="false" customHeight="false" outlineLevel="0" collapsed="false">
      <c r="A268" s="0" t="n">
        <v>266</v>
      </c>
      <c r="B268" s="0" t="n">
        <f aca="false">calc_cohort!D$2+constant!$B$1*A268</f>
        <v>53.3666666666667</v>
      </c>
      <c r="C268" s="0" t="n">
        <f aca="false">_xlfn.FLOOR.MATH(B268)</f>
        <v>53</v>
      </c>
      <c r="D268" s="4" t="n">
        <f aca="false">INDEX(table_mortality_rate!$A$1:$C$2000,MATCH(C268,table_mortality_rate!$A$1:$A$2000,0),MATCH(calc_cohort!$E$2,table_mortality_rate!A$1:C$1,0))</f>
        <v>0.003539</v>
      </c>
      <c r="E268" s="0" t="n">
        <f aca="false">(1-D268)^constant!$B$1</f>
        <v>0.999704603881812</v>
      </c>
      <c r="F268" s="0" t="n">
        <f aca="false">IF(A268=0,1,F267*E268)</f>
        <v>0.96954755613843</v>
      </c>
      <c r="G268" s="5" t="b">
        <f aca="false">B268&gt;=calc_cohort!C$2</f>
        <v>0</v>
      </c>
      <c r="H268" s="0" t="n">
        <f aca="false">IF(G268,1,0)</f>
        <v>0</v>
      </c>
      <c r="I268" s="0" t="n">
        <f aca="false">calc_cohort!$B$2*constant!$B$1*F268*H268</f>
        <v>0</v>
      </c>
      <c r="J268" s="0" t="n">
        <f aca="false">INDEX(table_spot_rate!B$1:B$2000,MATCH(A268,table_spot_rate!A$1:A$2000,0))</f>
        <v>0.0504640071553659</v>
      </c>
      <c r="K268" s="0" t="n">
        <f aca="false">(1+J268)^(-A268*constant!$B$1)</f>
        <v>0.335776725081604</v>
      </c>
      <c r="L268" s="0" t="n">
        <f aca="false">K268*I268</f>
        <v>0</v>
      </c>
    </row>
    <row r="269" customFormat="false" ht="12.8" hidden="false" customHeight="false" outlineLevel="0" collapsed="false">
      <c r="A269" s="0" t="n">
        <v>267</v>
      </c>
      <c r="B269" s="0" t="n">
        <f aca="false">calc_cohort!D$2+constant!$B$1*A269</f>
        <v>53.45</v>
      </c>
      <c r="C269" s="0" t="n">
        <f aca="false">_xlfn.FLOOR.MATH(B269)</f>
        <v>53</v>
      </c>
      <c r="D269" s="4" t="n">
        <f aca="false">INDEX(table_mortality_rate!$A$1:$C$2000,MATCH(C269,table_mortality_rate!$A$1:$A$2000,0),MATCH(calc_cohort!$E$2,table_mortality_rate!A$1:C$1,0))</f>
        <v>0.003539</v>
      </c>
      <c r="E269" s="0" t="n">
        <f aca="false">(1-D269)^constant!$B$1</f>
        <v>0.999704603881812</v>
      </c>
      <c r="F269" s="0" t="n">
        <f aca="false">IF(A269=0,1,F268*E269)</f>
        <v>0.969261155553947</v>
      </c>
      <c r="G269" s="5" t="b">
        <f aca="false">B269&gt;=calc_cohort!C$2</f>
        <v>0</v>
      </c>
      <c r="H269" s="0" t="n">
        <f aca="false">IF(G269,1,0)</f>
        <v>0</v>
      </c>
      <c r="I269" s="0" t="n">
        <f aca="false">calc_cohort!$B$2*constant!$B$1*F269*H269</f>
        <v>0</v>
      </c>
      <c r="J269" s="0" t="n">
        <f aca="false">INDEX(table_spot_rate!B$1:B$2000,MATCH(A269,table_spot_rate!A$1:A$2000,0))</f>
        <v>0.05646727142682</v>
      </c>
      <c r="K269" s="0" t="n">
        <f aca="false">(1+J269)^(-A269*constant!$B$1)</f>
        <v>0.294579786903845</v>
      </c>
      <c r="L269" s="0" t="n">
        <f aca="false">K269*I269</f>
        <v>0</v>
      </c>
    </row>
    <row r="270" customFormat="false" ht="12.8" hidden="false" customHeight="false" outlineLevel="0" collapsed="false">
      <c r="A270" s="0" t="n">
        <v>268</v>
      </c>
      <c r="B270" s="0" t="n">
        <f aca="false">calc_cohort!D$2+constant!$B$1*A270</f>
        <v>53.5333333333333</v>
      </c>
      <c r="C270" s="0" t="n">
        <f aca="false">_xlfn.FLOOR.MATH(B270)</f>
        <v>53</v>
      </c>
      <c r="D270" s="4" t="n">
        <f aca="false">INDEX(table_mortality_rate!$A$1:$C$2000,MATCH(C270,table_mortality_rate!$A$1:$A$2000,0),MATCH(calc_cohort!$E$2,table_mortality_rate!A$1:C$1,0))</f>
        <v>0.003539</v>
      </c>
      <c r="E270" s="0" t="n">
        <f aca="false">(1-D270)^constant!$B$1</f>
        <v>0.999704603881812</v>
      </c>
      <c r="F270" s="0" t="n">
        <f aca="false">IF(A270=0,1,F269*E270)</f>
        <v>0.968974839571086</v>
      </c>
      <c r="G270" s="5" t="b">
        <f aca="false">B270&gt;=calc_cohort!C$2</f>
        <v>0</v>
      </c>
      <c r="H270" s="0" t="n">
        <f aca="false">IF(G270,1,0)</f>
        <v>0</v>
      </c>
      <c r="I270" s="0" t="n">
        <f aca="false">calc_cohort!$B$2*constant!$B$1*F270*H270</f>
        <v>0</v>
      </c>
      <c r="J270" s="0" t="n">
        <f aca="false">INDEX(table_spot_rate!B$1:B$2000,MATCH(A270,table_spot_rate!A$1:A$2000,0))</f>
        <v>0.0531276818125996</v>
      </c>
      <c r="K270" s="0" t="n">
        <f aca="false">(1+J270)^(-A270*constant!$B$1)</f>
        <v>0.314719532160764</v>
      </c>
      <c r="L270" s="0" t="n">
        <f aca="false">K270*I270</f>
        <v>0</v>
      </c>
    </row>
    <row r="271" customFormat="false" ht="12.8" hidden="false" customHeight="false" outlineLevel="0" collapsed="false">
      <c r="A271" s="0" t="n">
        <v>269</v>
      </c>
      <c r="B271" s="0" t="n">
        <f aca="false">calc_cohort!D$2+constant!$B$1*A271</f>
        <v>53.6166666666667</v>
      </c>
      <c r="C271" s="0" t="n">
        <f aca="false">_xlfn.FLOOR.MATH(B271)</f>
        <v>53</v>
      </c>
      <c r="D271" s="4" t="n">
        <f aca="false">INDEX(table_mortality_rate!$A$1:$C$2000,MATCH(C271,table_mortality_rate!$A$1:$A$2000,0),MATCH(calc_cohort!$E$2,table_mortality_rate!A$1:C$1,0))</f>
        <v>0.003539</v>
      </c>
      <c r="E271" s="0" t="n">
        <f aca="false">(1-D271)^constant!$B$1</f>
        <v>0.999704603881812</v>
      </c>
      <c r="F271" s="0" t="n">
        <f aca="false">IF(A271=0,1,F270*E271)</f>
        <v>0.968688608164854</v>
      </c>
      <c r="G271" s="5" t="b">
        <f aca="false">B271&gt;=calc_cohort!C$2</f>
        <v>0</v>
      </c>
      <c r="H271" s="0" t="n">
        <f aca="false">IF(G271,1,0)</f>
        <v>0</v>
      </c>
      <c r="I271" s="0" t="n">
        <f aca="false">calc_cohort!$B$2*constant!$B$1*F271*H271</f>
        <v>0</v>
      </c>
      <c r="J271" s="0" t="n">
        <f aca="false">INDEX(table_spot_rate!B$1:B$2000,MATCH(A271,table_spot_rate!A$1:A$2000,0))</f>
        <v>0.0588182513847113</v>
      </c>
      <c r="K271" s="0" t="n">
        <f aca="false">(1+J271)^(-A271*constant!$B$1)</f>
        <v>0.277706808559052</v>
      </c>
      <c r="L271" s="0" t="n">
        <f aca="false">K271*I271</f>
        <v>0</v>
      </c>
    </row>
    <row r="272" customFormat="false" ht="12.8" hidden="false" customHeight="false" outlineLevel="0" collapsed="false">
      <c r="A272" s="0" t="n">
        <v>270</v>
      </c>
      <c r="B272" s="0" t="n">
        <f aca="false">calc_cohort!D$2+constant!$B$1*A272</f>
        <v>53.7</v>
      </c>
      <c r="C272" s="0" t="n">
        <f aca="false">_xlfn.FLOOR.MATH(B272)</f>
        <v>53</v>
      </c>
      <c r="D272" s="4" t="n">
        <f aca="false">INDEX(table_mortality_rate!$A$1:$C$2000,MATCH(C272,table_mortality_rate!$A$1:$A$2000,0),MATCH(calc_cohort!$E$2,table_mortality_rate!A$1:C$1,0))</f>
        <v>0.003539</v>
      </c>
      <c r="E272" s="0" t="n">
        <f aca="false">(1-D272)^constant!$B$1</f>
        <v>0.999704603881812</v>
      </c>
      <c r="F272" s="0" t="n">
        <f aca="false">IF(A272=0,1,F271*E272)</f>
        <v>0.968402461310269</v>
      </c>
      <c r="G272" s="5" t="b">
        <f aca="false">B272&gt;=calc_cohort!C$2</f>
        <v>0</v>
      </c>
      <c r="H272" s="0" t="n">
        <f aca="false">IF(G272,1,0)</f>
        <v>0</v>
      </c>
      <c r="I272" s="0" t="n">
        <f aca="false">calc_cohort!$B$2*constant!$B$1*F272*H272</f>
        <v>0</v>
      </c>
      <c r="J272" s="0" t="n">
        <f aca="false">INDEX(table_spot_rate!B$1:B$2000,MATCH(A272,table_spot_rate!A$1:A$2000,0))</f>
        <v>0.0551813729197462</v>
      </c>
      <c r="K272" s="0" t="n">
        <f aca="false">(1+J272)^(-A272*constant!$B$1)</f>
        <v>0.298634438813385</v>
      </c>
      <c r="L272" s="0" t="n">
        <f aca="false">K272*I272</f>
        <v>0</v>
      </c>
    </row>
    <row r="273" customFormat="false" ht="12.8" hidden="false" customHeight="false" outlineLevel="0" collapsed="false">
      <c r="A273" s="0" t="n">
        <v>271</v>
      </c>
      <c r="B273" s="0" t="n">
        <f aca="false">calc_cohort!D$2+constant!$B$1*A273</f>
        <v>53.7833333333333</v>
      </c>
      <c r="C273" s="0" t="n">
        <f aca="false">_xlfn.FLOOR.MATH(B273)</f>
        <v>53</v>
      </c>
      <c r="D273" s="4" t="n">
        <f aca="false">INDEX(table_mortality_rate!$A$1:$C$2000,MATCH(C273,table_mortality_rate!$A$1:$A$2000,0),MATCH(calc_cohort!$E$2,table_mortality_rate!A$1:C$1,0))</f>
        <v>0.003539</v>
      </c>
      <c r="E273" s="0" t="n">
        <f aca="false">(1-D273)^constant!$B$1</f>
        <v>0.999704603881812</v>
      </c>
      <c r="F273" s="0" t="n">
        <f aca="false">IF(A273=0,1,F272*E273)</f>
        <v>0.968116398982354</v>
      </c>
      <c r="G273" s="5" t="b">
        <f aca="false">B273&gt;=calc_cohort!C$2</f>
        <v>0</v>
      </c>
      <c r="H273" s="0" t="n">
        <f aca="false">IF(G273,1,0)</f>
        <v>0</v>
      </c>
      <c r="I273" s="0" t="n">
        <f aca="false">calc_cohort!$B$2*constant!$B$1*F273*H273</f>
        <v>0</v>
      </c>
      <c r="J273" s="0" t="n">
        <f aca="false">INDEX(table_spot_rate!B$1:B$2000,MATCH(A273,table_spot_rate!A$1:A$2000,0))</f>
        <v>0.0585517627500972</v>
      </c>
      <c r="K273" s="0" t="n">
        <f aca="false">(1+J273)^(-A273*constant!$B$1)</f>
        <v>0.276642190750203</v>
      </c>
      <c r="L273" s="0" t="n">
        <f aca="false">K273*I273</f>
        <v>0</v>
      </c>
    </row>
    <row r="274" customFormat="false" ht="12.8" hidden="false" customHeight="false" outlineLevel="0" collapsed="false">
      <c r="A274" s="0" t="n">
        <v>272</v>
      </c>
      <c r="B274" s="0" t="n">
        <f aca="false">calc_cohort!D$2+constant!$B$1*A274</f>
        <v>53.8666666666667</v>
      </c>
      <c r="C274" s="0" t="n">
        <f aca="false">_xlfn.FLOOR.MATH(B274)</f>
        <v>53</v>
      </c>
      <c r="D274" s="4" t="n">
        <f aca="false">INDEX(table_mortality_rate!$A$1:$C$2000,MATCH(C274,table_mortality_rate!$A$1:$A$2000,0),MATCH(calc_cohort!$E$2,table_mortality_rate!A$1:C$1,0))</f>
        <v>0.003539</v>
      </c>
      <c r="E274" s="0" t="n">
        <f aca="false">(1-D274)^constant!$B$1</f>
        <v>0.999704603881812</v>
      </c>
      <c r="F274" s="0" t="n">
        <f aca="false">IF(A274=0,1,F273*E274)</f>
        <v>0.96783042115614</v>
      </c>
      <c r="G274" s="5" t="b">
        <f aca="false">B274&gt;=calc_cohort!C$2</f>
        <v>0</v>
      </c>
      <c r="H274" s="0" t="n">
        <f aca="false">IF(G274,1,0)</f>
        <v>0</v>
      </c>
      <c r="I274" s="0" t="n">
        <f aca="false">calc_cohort!$B$2*constant!$B$1*F274*H274</f>
        <v>0</v>
      </c>
      <c r="J274" s="0" t="n">
        <f aca="false">INDEX(table_spot_rate!B$1:B$2000,MATCH(A274,table_spot_rate!A$1:A$2000,0))</f>
        <v>0.0518684133081795</v>
      </c>
      <c r="K274" s="0" t="n">
        <f aca="false">(1+J274)^(-A274*constant!$B$1)</f>
        <v>0.317839561870681</v>
      </c>
      <c r="L274" s="0" t="n">
        <f aca="false">K274*I274</f>
        <v>0</v>
      </c>
    </row>
    <row r="275" customFormat="false" ht="12.8" hidden="false" customHeight="false" outlineLevel="0" collapsed="false">
      <c r="A275" s="0" t="n">
        <v>273</v>
      </c>
      <c r="B275" s="0" t="n">
        <f aca="false">calc_cohort!D$2+constant!$B$1*A275</f>
        <v>53.95</v>
      </c>
      <c r="C275" s="0" t="n">
        <f aca="false">_xlfn.FLOOR.MATH(B275)</f>
        <v>53</v>
      </c>
      <c r="D275" s="4" t="n">
        <f aca="false">INDEX(table_mortality_rate!$A$1:$C$2000,MATCH(C275,table_mortality_rate!$A$1:$A$2000,0),MATCH(calc_cohort!$E$2,table_mortality_rate!A$1:C$1,0))</f>
        <v>0.003539</v>
      </c>
      <c r="E275" s="0" t="n">
        <f aca="false">(1-D275)^constant!$B$1</f>
        <v>0.999704603881812</v>
      </c>
      <c r="F275" s="0" t="n">
        <f aca="false">IF(A275=0,1,F274*E275)</f>
        <v>0.967544527806666</v>
      </c>
      <c r="G275" s="5" t="b">
        <f aca="false">B275&gt;=calc_cohort!C$2</f>
        <v>0</v>
      </c>
      <c r="H275" s="0" t="n">
        <f aca="false">IF(G275,1,0)</f>
        <v>0</v>
      </c>
      <c r="I275" s="0" t="n">
        <f aca="false">calc_cohort!$B$2*constant!$B$1*F275*H275</f>
        <v>0</v>
      </c>
      <c r="J275" s="0" t="n">
        <f aca="false">INDEX(table_spot_rate!B$1:B$2000,MATCH(A275,table_spot_rate!A$1:A$2000,0))</f>
        <v>0.0515880690271077</v>
      </c>
      <c r="K275" s="0" t="n">
        <f aca="false">(1+J275)^(-A275*constant!$B$1)</f>
        <v>0.318428154794405</v>
      </c>
      <c r="L275" s="0" t="n">
        <f aca="false">K275*I275</f>
        <v>0</v>
      </c>
    </row>
    <row r="276" customFormat="false" ht="12.8" hidden="false" customHeight="false" outlineLevel="0" collapsed="false">
      <c r="A276" s="0" t="n">
        <v>274</v>
      </c>
      <c r="B276" s="0" t="n">
        <f aca="false">calc_cohort!D$2+constant!$B$1*A276</f>
        <v>54.0333333333333</v>
      </c>
      <c r="C276" s="0" t="n">
        <f aca="false">_xlfn.FLOOR.MATH(B276)</f>
        <v>54</v>
      </c>
      <c r="D276" s="4" t="n">
        <f aca="false">INDEX(table_mortality_rate!$A$1:$C$2000,MATCH(C276,table_mortality_rate!$A$1:$A$2000,0),MATCH(calc_cohort!$E$2,table_mortality_rate!A$1:C$1,0))</f>
        <v>0.003976</v>
      </c>
      <c r="E276" s="0" t="n">
        <f aca="false">(1-D276)^constant!$B$1</f>
        <v>0.999668061328643</v>
      </c>
      <c r="F276" s="0" t="n">
        <f aca="false">IF(A276=0,1,F275*E276)</f>
        <v>0.967223362361626</v>
      </c>
      <c r="G276" s="5" t="b">
        <f aca="false">B276&gt;=calc_cohort!C$2</f>
        <v>0</v>
      </c>
      <c r="H276" s="0" t="n">
        <f aca="false">IF(G276,1,0)</f>
        <v>0</v>
      </c>
      <c r="I276" s="0" t="n">
        <f aca="false">calc_cohort!$B$2*constant!$B$1*F276*H276</f>
        <v>0</v>
      </c>
      <c r="J276" s="0" t="n">
        <f aca="false">INDEX(table_spot_rate!B$1:B$2000,MATCH(A276,table_spot_rate!A$1:A$2000,0))</f>
        <v>0.0577510871140358</v>
      </c>
      <c r="K276" s="0" t="n">
        <f aca="false">(1+J276)^(-A276*constant!$B$1)</f>
        <v>0.277487781802408</v>
      </c>
      <c r="L276" s="0" t="n">
        <f aca="false">K276*I276</f>
        <v>0</v>
      </c>
    </row>
    <row r="277" customFormat="false" ht="12.8" hidden="false" customHeight="false" outlineLevel="0" collapsed="false">
      <c r="A277" s="0" t="n">
        <v>275</v>
      </c>
      <c r="B277" s="0" t="n">
        <f aca="false">calc_cohort!D$2+constant!$B$1*A277</f>
        <v>54.1166666666667</v>
      </c>
      <c r="C277" s="0" t="n">
        <f aca="false">_xlfn.FLOOR.MATH(B277)</f>
        <v>54</v>
      </c>
      <c r="D277" s="4" t="n">
        <f aca="false">INDEX(table_mortality_rate!$A$1:$C$2000,MATCH(C277,table_mortality_rate!$A$1:$A$2000,0),MATCH(calc_cohort!$E$2,table_mortality_rate!A$1:C$1,0))</f>
        <v>0.003976</v>
      </c>
      <c r="E277" s="0" t="n">
        <f aca="false">(1-D277)^constant!$B$1</f>
        <v>0.999668061328643</v>
      </c>
      <c r="F277" s="0" t="n">
        <f aca="false">IF(A277=0,1,F276*E277)</f>
        <v>0.966902303523818</v>
      </c>
      <c r="G277" s="5" t="b">
        <f aca="false">B277&gt;=calc_cohort!C$2</f>
        <v>0</v>
      </c>
      <c r="H277" s="0" t="n">
        <f aca="false">IF(G277,1,0)</f>
        <v>0</v>
      </c>
      <c r="I277" s="0" t="n">
        <f aca="false">calc_cohort!$B$2*constant!$B$1*F277*H277</f>
        <v>0</v>
      </c>
      <c r="J277" s="0" t="n">
        <f aca="false">INDEX(table_spot_rate!B$1:B$2000,MATCH(A277,table_spot_rate!A$1:A$2000,0))</f>
        <v>0.0542314363243439</v>
      </c>
      <c r="K277" s="0" t="n">
        <f aca="false">(1+J277)^(-A277*constant!$B$1)</f>
        <v>0.298115251811413</v>
      </c>
      <c r="L277" s="0" t="n">
        <f aca="false">K277*I277</f>
        <v>0</v>
      </c>
    </row>
    <row r="278" customFormat="false" ht="12.8" hidden="false" customHeight="false" outlineLevel="0" collapsed="false">
      <c r="A278" s="0" t="n">
        <v>276</v>
      </c>
      <c r="B278" s="0" t="n">
        <f aca="false">calc_cohort!D$2+constant!$B$1*A278</f>
        <v>54.2</v>
      </c>
      <c r="C278" s="0" t="n">
        <f aca="false">_xlfn.FLOOR.MATH(B278)</f>
        <v>54</v>
      </c>
      <c r="D278" s="4" t="n">
        <f aca="false">INDEX(table_mortality_rate!$A$1:$C$2000,MATCH(C278,table_mortality_rate!$A$1:$A$2000,0),MATCH(calc_cohort!$E$2,table_mortality_rate!A$1:C$1,0))</f>
        <v>0.003976</v>
      </c>
      <c r="E278" s="0" t="n">
        <f aca="false">(1-D278)^constant!$B$1</f>
        <v>0.999668061328643</v>
      </c>
      <c r="F278" s="0" t="n">
        <f aca="false">IF(A278=0,1,F277*E278)</f>
        <v>0.966581351257854</v>
      </c>
      <c r="G278" s="5" t="b">
        <f aca="false">B278&gt;=calc_cohort!C$2</f>
        <v>0</v>
      </c>
      <c r="H278" s="0" t="n">
        <f aca="false">IF(G278,1,0)</f>
        <v>0</v>
      </c>
      <c r="I278" s="0" t="n">
        <f aca="false">calc_cohort!$B$2*constant!$B$1*F278*H278</f>
        <v>0</v>
      </c>
      <c r="J278" s="0" t="n">
        <f aca="false">INDEX(table_spot_rate!B$1:B$2000,MATCH(A278,table_spot_rate!A$1:A$2000,0))</f>
        <v>0.0598296629996592</v>
      </c>
      <c r="K278" s="0" t="n">
        <f aca="false">(1+J278)^(-A278*constant!$B$1)</f>
        <v>0.262766730058027</v>
      </c>
      <c r="L278" s="0" t="n">
        <f aca="false">K278*I278</f>
        <v>0</v>
      </c>
    </row>
    <row r="279" customFormat="false" ht="12.8" hidden="false" customHeight="false" outlineLevel="0" collapsed="false">
      <c r="A279" s="0" t="n">
        <v>277</v>
      </c>
      <c r="B279" s="0" t="n">
        <f aca="false">calc_cohort!D$2+constant!$B$1*A279</f>
        <v>54.2833333333333</v>
      </c>
      <c r="C279" s="0" t="n">
        <f aca="false">_xlfn.FLOOR.MATH(B279)</f>
        <v>54</v>
      </c>
      <c r="D279" s="4" t="n">
        <f aca="false">INDEX(table_mortality_rate!$A$1:$C$2000,MATCH(C279,table_mortality_rate!$A$1:$A$2000,0),MATCH(calc_cohort!$E$2,table_mortality_rate!A$1:C$1,0))</f>
        <v>0.003976</v>
      </c>
      <c r="E279" s="0" t="n">
        <f aca="false">(1-D279)^constant!$B$1</f>
        <v>0.999668061328643</v>
      </c>
      <c r="F279" s="0" t="n">
        <f aca="false">IF(A279=0,1,F278*E279)</f>
        <v>0.966260505528359</v>
      </c>
      <c r="G279" s="5" t="b">
        <f aca="false">B279&gt;=calc_cohort!C$2</f>
        <v>0</v>
      </c>
      <c r="H279" s="0" t="n">
        <f aca="false">IF(G279,1,0)</f>
        <v>0</v>
      </c>
      <c r="I279" s="0" t="n">
        <f aca="false">calc_cohort!$B$2*constant!$B$1*F279*H279</f>
        <v>0</v>
      </c>
      <c r="J279" s="0" t="n">
        <f aca="false">INDEX(table_spot_rate!B$1:B$2000,MATCH(A279,table_spot_rate!A$1:A$2000,0))</f>
        <v>0.0503362249784605</v>
      </c>
      <c r="K279" s="0" t="n">
        <f aca="false">(1+J279)^(-A279*constant!$B$1)</f>
        <v>0.321862754572175</v>
      </c>
      <c r="L279" s="0" t="n">
        <f aca="false">K279*I279</f>
        <v>0</v>
      </c>
    </row>
    <row r="280" customFormat="false" ht="12.8" hidden="false" customHeight="false" outlineLevel="0" collapsed="false">
      <c r="A280" s="0" t="n">
        <v>278</v>
      </c>
      <c r="B280" s="0" t="n">
        <f aca="false">calc_cohort!D$2+constant!$B$1*A280</f>
        <v>54.3666666666667</v>
      </c>
      <c r="C280" s="0" t="n">
        <f aca="false">_xlfn.FLOOR.MATH(B280)</f>
        <v>54</v>
      </c>
      <c r="D280" s="4" t="n">
        <f aca="false">INDEX(table_mortality_rate!$A$1:$C$2000,MATCH(C280,table_mortality_rate!$A$1:$A$2000,0),MATCH(calc_cohort!$E$2,table_mortality_rate!A$1:C$1,0))</f>
        <v>0.003976</v>
      </c>
      <c r="E280" s="0" t="n">
        <f aca="false">(1-D280)^constant!$B$1</f>
        <v>0.999668061328643</v>
      </c>
      <c r="F280" s="0" t="n">
        <f aca="false">IF(A280=0,1,F279*E280)</f>
        <v>0.965939766299969</v>
      </c>
      <c r="G280" s="5" t="b">
        <f aca="false">B280&gt;=calc_cohort!C$2</f>
        <v>0</v>
      </c>
      <c r="H280" s="0" t="n">
        <f aca="false">IF(G280,1,0)</f>
        <v>0</v>
      </c>
      <c r="I280" s="0" t="n">
        <f aca="false">calc_cohort!$B$2*constant!$B$1*F280*H280</f>
        <v>0</v>
      </c>
      <c r="J280" s="0" t="n">
        <f aca="false">INDEX(table_spot_rate!B$1:B$2000,MATCH(A280,table_spot_rate!A$1:A$2000,0))</f>
        <v>0.0593155511298936</v>
      </c>
      <c r="K280" s="0" t="n">
        <f aca="false">(1+J280)^(-A280*constant!$B$1)</f>
        <v>0.263175893670074</v>
      </c>
      <c r="L280" s="0" t="n">
        <f aca="false">K280*I280</f>
        <v>0</v>
      </c>
    </row>
    <row r="281" customFormat="false" ht="12.8" hidden="false" customHeight="false" outlineLevel="0" collapsed="false">
      <c r="A281" s="0" t="n">
        <v>279</v>
      </c>
      <c r="B281" s="0" t="n">
        <f aca="false">calc_cohort!D$2+constant!$B$1*A281</f>
        <v>54.45</v>
      </c>
      <c r="C281" s="0" t="n">
        <f aca="false">_xlfn.FLOOR.MATH(B281)</f>
        <v>54</v>
      </c>
      <c r="D281" s="4" t="n">
        <f aca="false">INDEX(table_mortality_rate!$A$1:$C$2000,MATCH(C281,table_mortality_rate!$A$1:$A$2000,0),MATCH(calc_cohort!$E$2,table_mortality_rate!A$1:C$1,0))</f>
        <v>0.003976</v>
      </c>
      <c r="E281" s="0" t="n">
        <f aca="false">(1-D281)^constant!$B$1</f>
        <v>0.999668061328643</v>
      </c>
      <c r="F281" s="0" t="n">
        <f aca="false">IF(A281=0,1,F280*E281)</f>
        <v>0.965619133537332</v>
      </c>
      <c r="G281" s="5" t="b">
        <f aca="false">B281&gt;=calc_cohort!C$2</f>
        <v>0</v>
      </c>
      <c r="H281" s="0" t="n">
        <f aca="false">IF(G281,1,0)</f>
        <v>0</v>
      </c>
      <c r="I281" s="0" t="n">
        <f aca="false">calc_cohort!$B$2*constant!$B$1*F281*H281</f>
        <v>0</v>
      </c>
      <c r="J281" s="0" t="n">
        <f aca="false">INDEX(table_spot_rate!B$1:B$2000,MATCH(A281,table_spot_rate!A$1:A$2000,0))</f>
        <v>0.0512294591213779</v>
      </c>
      <c r="K281" s="0" t="n">
        <f aca="false">(1+J281)^(-A281*constant!$B$1)</f>
        <v>0.312991536501983</v>
      </c>
      <c r="L281" s="0" t="n">
        <f aca="false">K281*I281</f>
        <v>0</v>
      </c>
    </row>
    <row r="282" customFormat="false" ht="12.8" hidden="false" customHeight="false" outlineLevel="0" collapsed="false">
      <c r="A282" s="0" t="n">
        <v>280</v>
      </c>
      <c r="B282" s="0" t="n">
        <f aca="false">calc_cohort!D$2+constant!$B$1*A282</f>
        <v>54.5333333333333</v>
      </c>
      <c r="C282" s="0" t="n">
        <f aca="false">_xlfn.FLOOR.MATH(B282)</f>
        <v>54</v>
      </c>
      <c r="D282" s="4" t="n">
        <f aca="false">INDEX(table_mortality_rate!$A$1:$C$2000,MATCH(C282,table_mortality_rate!$A$1:$A$2000,0),MATCH(calc_cohort!$E$2,table_mortality_rate!A$1:C$1,0))</f>
        <v>0.003976</v>
      </c>
      <c r="E282" s="0" t="n">
        <f aca="false">(1-D282)^constant!$B$1</f>
        <v>0.999668061328643</v>
      </c>
      <c r="F282" s="0" t="n">
        <f aca="false">IF(A282=0,1,F281*E282)</f>
        <v>0.965298607205109</v>
      </c>
      <c r="G282" s="5" t="b">
        <f aca="false">B282&gt;=calc_cohort!C$2</f>
        <v>0</v>
      </c>
      <c r="H282" s="0" t="n">
        <f aca="false">IF(G282,1,0)</f>
        <v>0</v>
      </c>
      <c r="I282" s="0" t="n">
        <f aca="false">calc_cohort!$B$2*constant!$B$1*F282*H282</f>
        <v>0</v>
      </c>
      <c r="J282" s="0" t="n">
        <f aca="false">INDEX(table_spot_rate!B$1:B$2000,MATCH(A282,table_spot_rate!A$1:A$2000,0))</f>
        <v>0.0564073992090972</v>
      </c>
      <c r="K282" s="0" t="n">
        <f aca="false">(1+J282)^(-A282*constant!$B$1)</f>
        <v>0.27792857286803</v>
      </c>
      <c r="L282" s="0" t="n">
        <f aca="false">K282*I282</f>
        <v>0</v>
      </c>
    </row>
    <row r="283" customFormat="false" ht="12.8" hidden="false" customHeight="false" outlineLevel="0" collapsed="false">
      <c r="A283" s="0" t="n">
        <v>281</v>
      </c>
      <c r="B283" s="0" t="n">
        <f aca="false">calc_cohort!D$2+constant!$B$1*A283</f>
        <v>54.6166666666667</v>
      </c>
      <c r="C283" s="0" t="n">
        <f aca="false">_xlfn.FLOOR.MATH(B283)</f>
        <v>54</v>
      </c>
      <c r="D283" s="4" t="n">
        <f aca="false">INDEX(table_mortality_rate!$A$1:$C$2000,MATCH(C283,table_mortality_rate!$A$1:$A$2000,0),MATCH(calc_cohort!$E$2,table_mortality_rate!A$1:C$1,0))</f>
        <v>0.003976</v>
      </c>
      <c r="E283" s="0" t="n">
        <f aca="false">(1-D283)^constant!$B$1</f>
        <v>0.999668061328643</v>
      </c>
      <c r="F283" s="0" t="n">
        <f aca="false">IF(A283=0,1,F282*E283)</f>
        <v>0.96497818726797</v>
      </c>
      <c r="G283" s="5" t="b">
        <f aca="false">B283&gt;=calc_cohort!C$2</f>
        <v>0</v>
      </c>
      <c r="H283" s="0" t="n">
        <f aca="false">IF(G283,1,0)</f>
        <v>0</v>
      </c>
      <c r="I283" s="0" t="n">
        <f aca="false">calc_cohort!$B$2*constant!$B$1*F283*H283</f>
        <v>0</v>
      </c>
      <c r="J283" s="0" t="n">
        <f aca="false">INDEX(table_spot_rate!B$1:B$2000,MATCH(A283,table_spot_rate!A$1:A$2000,0))</f>
        <v>0.0583607036744891</v>
      </c>
      <c r="K283" s="0" t="n">
        <f aca="false">(1+J283)^(-A283*constant!$B$1)</f>
        <v>0.264948038770777</v>
      </c>
      <c r="L283" s="0" t="n">
        <f aca="false">K283*I283</f>
        <v>0</v>
      </c>
    </row>
    <row r="284" customFormat="false" ht="12.8" hidden="false" customHeight="false" outlineLevel="0" collapsed="false">
      <c r="A284" s="0" t="n">
        <v>282</v>
      </c>
      <c r="B284" s="0" t="n">
        <f aca="false">calc_cohort!D$2+constant!$B$1*A284</f>
        <v>54.7</v>
      </c>
      <c r="C284" s="0" t="n">
        <f aca="false">_xlfn.FLOOR.MATH(B284)</f>
        <v>54</v>
      </c>
      <c r="D284" s="4" t="n">
        <f aca="false">INDEX(table_mortality_rate!$A$1:$C$2000,MATCH(C284,table_mortality_rate!$A$1:$A$2000,0),MATCH(calc_cohort!$E$2,table_mortality_rate!A$1:C$1,0))</f>
        <v>0.003976</v>
      </c>
      <c r="E284" s="0" t="n">
        <f aca="false">(1-D284)^constant!$B$1</f>
        <v>0.999668061328643</v>
      </c>
      <c r="F284" s="0" t="n">
        <f aca="false">IF(A284=0,1,F283*E284)</f>
        <v>0.9646578736906</v>
      </c>
      <c r="G284" s="5" t="b">
        <f aca="false">B284&gt;=calc_cohort!C$2</f>
        <v>0</v>
      </c>
      <c r="H284" s="0" t="n">
        <f aca="false">IF(G284,1,0)</f>
        <v>0</v>
      </c>
      <c r="I284" s="0" t="n">
        <f aca="false">calc_cohort!$B$2*constant!$B$1*F284*H284</f>
        <v>0</v>
      </c>
      <c r="J284" s="0" t="n">
        <f aca="false">INDEX(table_spot_rate!B$1:B$2000,MATCH(A284,table_spot_rate!A$1:A$2000,0))</f>
        <v>0.056106146496799</v>
      </c>
      <c r="K284" s="0" t="n">
        <f aca="false">(1+J284)^(-A284*constant!$B$1)</f>
        <v>0.277250348132934</v>
      </c>
      <c r="L284" s="0" t="n">
        <f aca="false">K284*I284</f>
        <v>0</v>
      </c>
    </row>
    <row r="285" customFormat="false" ht="12.8" hidden="false" customHeight="false" outlineLevel="0" collapsed="false">
      <c r="A285" s="0" t="n">
        <v>283</v>
      </c>
      <c r="B285" s="0" t="n">
        <f aca="false">calc_cohort!D$2+constant!$B$1*A285</f>
        <v>54.7833333333333</v>
      </c>
      <c r="C285" s="0" t="n">
        <f aca="false">_xlfn.FLOOR.MATH(B285)</f>
        <v>54</v>
      </c>
      <c r="D285" s="4" t="n">
        <f aca="false">INDEX(table_mortality_rate!$A$1:$C$2000,MATCH(C285,table_mortality_rate!$A$1:$A$2000,0),MATCH(calc_cohort!$E$2,table_mortality_rate!A$1:C$1,0))</f>
        <v>0.003976</v>
      </c>
      <c r="E285" s="0" t="n">
        <f aca="false">(1-D285)^constant!$B$1</f>
        <v>0.999668061328643</v>
      </c>
      <c r="F285" s="0" t="n">
        <f aca="false">IF(A285=0,1,F284*E285)</f>
        <v>0.964337666437693</v>
      </c>
      <c r="G285" s="5" t="b">
        <f aca="false">B285&gt;=calc_cohort!C$2</f>
        <v>0</v>
      </c>
      <c r="H285" s="0" t="n">
        <f aca="false">IF(G285,1,0)</f>
        <v>0</v>
      </c>
      <c r="I285" s="0" t="n">
        <f aca="false">calc_cohort!$B$2*constant!$B$1*F285*H285</f>
        <v>0</v>
      </c>
      <c r="J285" s="0" t="n">
        <f aca="false">INDEX(table_spot_rate!B$1:B$2000,MATCH(A285,table_spot_rate!A$1:A$2000,0))</f>
        <v>0.0599515359888126</v>
      </c>
      <c r="K285" s="0" t="n">
        <f aca="false">(1+J285)^(-A285*constant!$B$1)</f>
        <v>0.253321255653196</v>
      </c>
      <c r="L285" s="0" t="n">
        <f aca="false">K285*I285</f>
        <v>0</v>
      </c>
    </row>
    <row r="286" customFormat="false" ht="12.8" hidden="false" customHeight="false" outlineLevel="0" collapsed="false">
      <c r="A286" s="0" t="n">
        <v>284</v>
      </c>
      <c r="B286" s="0" t="n">
        <f aca="false">calc_cohort!D$2+constant!$B$1*A286</f>
        <v>54.8666666666667</v>
      </c>
      <c r="C286" s="0" t="n">
        <f aca="false">_xlfn.FLOOR.MATH(B286)</f>
        <v>54</v>
      </c>
      <c r="D286" s="4" t="n">
        <f aca="false">INDEX(table_mortality_rate!$A$1:$C$2000,MATCH(C286,table_mortality_rate!$A$1:$A$2000,0),MATCH(calc_cohort!$E$2,table_mortality_rate!A$1:C$1,0))</f>
        <v>0.003976</v>
      </c>
      <c r="E286" s="0" t="n">
        <f aca="false">(1-D286)^constant!$B$1</f>
        <v>0.999668061328643</v>
      </c>
      <c r="F286" s="0" t="n">
        <f aca="false">IF(A286=0,1,F285*E286)</f>
        <v>0.964017565473955</v>
      </c>
      <c r="G286" s="5" t="b">
        <f aca="false">B286&gt;=calc_cohort!C$2</f>
        <v>0</v>
      </c>
      <c r="H286" s="0" t="n">
        <f aca="false">IF(G286,1,0)</f>
        <v>0</v>
      </c>
      <c r="I286" s="0" t="n">
        <f aca="false">calc_cohort!$B$2*constant!$B$1*F286*H286</f>
        <v>0</v>
      </c>
      <c r="J286" s="0" t="n">
        <f aca="false">INDEX(table_spot_rate!B$1:B$2000,MATCH(A286,table_spot_rate!A$1:A$2000,0))</f>
        <v>0.0546298577919174</v>
      </c>
      <c r="K286" s="0" t="n">
        <f aca="false">(1+J286)^(-A286*constant!$B$1)</f>
        <v>0.283987039077379</v>
      </c>
      <c r="L286" s="0" t="n">
        <f aca="false">K286*I286</f>
        <v>0</v>
      </c>
    </row>
    <row r="287" customFormat="false" ht="12.8" hidden="false" customHeight="false" outlineLevel="0" collapsed="false">
      <c r="A287" s="0" t="n">
        <v>285</v>
      </c>
      <c r="B287" s="0" t="n">
        <f aca="false">calc_cohort!D$2+constant!$B$1*A287</f>
        <v>54.95</v>
      </c>
      <c r="C287" s="0" t="n">
        <f aca="false">_xlfn.FLOOR.MATH(B287)</f>
        <v>54</v>
      </c>
      <c r="D287" s="4" t="n">
        <f aca="false">INDEX(table_mortality_rate!$A$1:$C$2000,MATCH(C287,table_mortality_rate!$A$1:$A$2000,0),MATCH(calc_cohort!$E$2,table_mortality_rate!A$1:C$1,0))</f>
        <v>0.003976</v>
      </c>
      <c r="E287" s="0" t="n">
        <f aca="false">(1-D287)^constant!$B$1</f>
        <v>0.999668061328643</v>
      </c>
      <c r="F287" s="0" t="n">
        <f aca="false">IF(A287=0,1,F286*E287)</f>
        <v>0.963697570764107</v>
      </c>
      <c r="G287" s="5" t="b">
        <f aca="false">B287&gt;=calc_cohort!C$2</f>
        <v>0</v>
      </c>
      <c r="H287" s="0" t="n">
        <f aca="false">IF(G287,1,0)</f>
        <v>0</v>
      </c>
      <c r="I287" s="0" t="n">
        <f aca="false">calc_cohort!$B$2*constant!$B$1*F287*H287</f>
        <v>0</v>
      </c>
      <c r="J287" s="0" t="n">
        <f aca="false">INDEX(table_spot_rate!B$1:B$2000,MATCH(A287,table_spot_rate!A$1:A$2000,0))</f>
        <v>0.0595296951350509</v>
      </c>
      <c r="K287" s="0" t="n">
        <f aca="false">(1+J287)^(-A287*constant!$B$1)</f>
        <v>0.253257951500093</v>
      </c>
      <c r="L287" s="0" t="n">
        <f aca="false">K287*I287</f>
        <v>0</v>
      </c>
    </row>
    <row r="288" customFormat="false" ht="12.8" hidden="false" customHeight="false" outlineLevel="0" collapsed="false">
      <c r="A288" s="0" t="n">
        <v>286</v>
      </c>
      <c r="B288" s="0" t="n">
        <f aca="false">calc_cohort!D$2+constant!$B$1*A288</f>
        <v>55.0333333333333</v>
      </c>
      <c r="C288" s="0" t="n">
        <f aca="false">_xlfn.FLOOR.MATH(B288)</f>
        <v>55</v>
      </c>
      <c r="D288" s="4" t="n">
        <f aca="false">INDEX(table_mortality_rate!$A$1:$C$2000,MATCH(C288,table_mortality_rate!$A$1:$A$2000,0),MATCH(calc_cohort!$E$2,table_mortality_rate!A$1:C$1,0))</f>
        <v>0.004469</v>
      </c>
      <c r="E288" s="0" t="n">
        <f aca="false">(1-D288)^constant!$B$1</f>
        <v>0.999626818330263</v>
      </c>
      <c r="F288" s="0" t="n">
        <f aca="false">IF(A288=0,1,F287*E288)</f>
        <v>0.963337936495527</v>
      </c>
      <c r="G288" s="5" t="b">
        <f aca="false">B288&gt;=calc_cohort!C$2</f>
        <v>0</v>
      </c>
      <c r="H288" s="0" t="n">
        <f aca="false">IF(G288,1,0)</f>
        <v>0</v>
      </c>
      <c r="I288" s="0" t="n">
        <f aca="false">calc_cohort!$B$2*constant!$B$1*F288*H288</f>
        <v>0</v>
      </c>
      <c r="J288" s="0" t="n">
        <f aca="false">INDEX(table_spot_rate!B$1:B$2000,MATCH(A288,table_spot_rate!A$1:A$2000,0))</f>
        <v>0.0545031837711846</v>
      </c>
      <c r="K288" s="0" t="n">
        <f aca="false">(1+J288)^(-A288*constant!$B$1)</f>
        <v>0.282287617656327</v>
      </c>
      <c r="L288" s="0" t="n">
        <f aca="false">K288*I288</f>
        <v>0</v>
      </c>
    </row>
    <row r="289" customFormat="false" ht="12.8" hidden="false" customHeight="false" outlineLevel="0" collapsed="false">
      <c r="A289" s="0" t="n">
        <v>287</v>
      </c>
      <c r="B289" s="0" t="n">
        <f aca="false">calc_cohort!D$2+constant!$B$1*A289</f>
        <v>55.1166666666667</v>
      </c>
      <c r="C289" s="0" t="n">
        <f aca="false">_xlfn.FLOOR.MATH(B289)</f>
        <v>55</v>
      </c>
      <c r="D289" s="4" t="n">
        <f aca="false">INDEX(table_mortality_rate!$A$1:$C$2000,MATCH(C289,table_mortality_rate!$A$1:$A$2000,0),MATCH(calc_cohort!$E$2,table_mortality_rate!A$1:C$1,0))</f>
        <v>0.004469</v>
      </c>
      <c r="E289" s="0" t="n">
        <f aca="false">(1-D289)^constant!$B$1</f>
        <v>0.999626818330263</v>
      </c>
      <c r="F289" s="0" t="n">
        <f aca="false">IF(A289=0,1,F288*E289)</f>
        <v>0.962978436435865</v>
      </c>
      <c r="G289" s="5" t="b">
        <f aca="false">B289&gt;=calc_cohort!C$2</f>
        <v>0</v>
      </c>
      <c r="H289" s="0" t="n">
        <f aca="false">IF(G289,1,0)</f>
        <v>0</v>
      </c>
      <c r="I289" s="0" t="n">
        <f aca="false">calc_cohort!$B$2*constant!$B$1*F289*H289</f>
        <v>0</v>
      </c>
      <c r="J289" s="0" t="n">
        <f aca="false">INDEX(table_spot_rate!B$1:B$2000,MATCH(A289,table_spot_rate!A$1:A$2000,0))</f>
        <v>0.0548283497929978</v>
      </c>
      <c r="K289" s="0" t="n">
        <f aca="false">(1+J289)^(-A289*constant!$B$1)</f>
        <v>0.278977239668343</v>
      </c>
      <c r="L289" s="0" t="n">
        <f aca="false">K289*I289</f>
        <v>0</v>
      </c>
    </row>
    <row r="290" customFormat="false" ht="12.8" hidden="false" customHeight="false" outlineLevel="0" collapsed="false">
      <c r="A290" s="0" t="n">
        <v>288</v>
      </c>
      <c r="B290" s="0" t="n">
        <f aca="false">calc_cohort!D$2+constant!$B$1*A290</f>
        <v>55.2</v>
      </c>
      <c r="C290" s="0" t="n">
        <f aca="false">_xlfn.FLOOR.MATH(B290)</f>
        <v>55</v>
      </c>
      <c r="D290" s="4" t="n">
        <f aca="false">INDEX(table_mortality_rate!$A$1:$C$2000,MATCH(C290,table_mortality_rate!$A$1:$A$2000,0),MATCH(calc_cohort!$E$2,table_mortality_rate!A$1:C$1,0))</f>
        <v>0.004469</v>
      </c>
      <c r="E290" s="0" t="n">
        <f aca="false">(1-D290)^constant!$B$1</f>
        <v>0.999626818330263</v>
      </c>
      <c r="F290" s="0" t="n">
        <f aca="false">IF(A290=0,1,F289*E290)</f>
        <v>0.962619070535034</v>
      </c>
      <c r="G290" s="5" t="b">
        <f aca="false">B290&gt;=calc_cohort!C$2</f>
        <v>0</v>
      </c>
      <c r="H290" s="0" t="n">
        <f aca="false">IF(G290,1,0)</f>
        <v>0</v>
      </c>
      <c r="I290" s="0" t="n">
        <f aca="false">calc_cohort!$B$2*constant!$B$1*F290*H290</f>
        <v>0</v>
      </c>
      <c r="J290" s="0" t="n">
        <f aca="false">INDEX(table_spot_rate!B$1:B$2000,MATCH(A290,table_spot_rate!A$1:A$2000,0))</f>
        <v>0.0517545815547126</v>
      </c>
      <c r="K290" s="0" t="n">
        <f aca="false">(1+J290)^(-A290*constant!$B$1)</f>
        <v>0.297888748160463</v>
      </c>
      <c r="L290" s="0" t="n">
        <f aca="false">K290*I290</f>
        <v>0</v>
      </c>
    </row>
    <row r="291" customFormat="false" ht="12.8" hidden="false" customHeight="false" outlineLevel="0" collapsed="false">
      <c r="A291" s="0" t="n">
        <v>289</v>
      </c>
      <c r="B291" s="0" t="n">
        <f aca="false">calc_cohort!D$2+constant!$B$1*A291</f>
        <v>55.2833333333333</v>
      </c>
      <c r="C291" s="0" t="n">
        <f aca="false">_xlfn.FLOOR.MATH(B291)</f>
        <v>55</v>
      </c>
      <c r="D291" s="4" t="n">
        <f aca="false">INDEX(table_mortality_rate!$A$1:$C$2000,MATCH(C291,table_mortality_rate!$A$1:$A$2000,0),MATCH(calc_cohort!$E$2,table_mortality_rate!A$1:C$1,0))</f>
        <v>0.004469</v>
      </c>
      <c r="E291" s="0" t="n">
        <f aca="false">(1-D291)^constant!$B$1</f>
        <v>0.999626818330263</v>
      </c>
      <c r="F291" s="0" t="n">
        <f aca="false">IF(A291=0,1,F290*E291)</f>
        <v>0.962259838742971</v>
      </c>
      <c r="G291" s="5" t="b">
        <f aca="false">B291&gt;=calc_cohort!C$2</f>
        <v>0</v>
      </c>
      <c r="H291" s="0" t="n">
        <f aca="false">IF(G291,1,0)</f>
        <v>0</v>
      </c>
      <c r="I291" s="0" t="n">
        <f aca="false">calc_cohort!$B$2*constant!$B$1*F291*H291</f>
        <v>0</v>
      </c>
      <c r="J291" s="0" t="n">
        <f aca="false">INDEX(table_spot_rate!B$1:B$2000,MATCH(A291,table_spot_rate!A$1:A$2000,0))</f>
        <v>0.0527258543891891</v>
      </c>
      <c r="K291" s="0" t="n">
        <f aca="false">(1+J291)^(-A291*constant!$B$1)</f>
        <v>0.290117184406237</v>
      </c>
      <c r="L291" s="0" t="n">
        <f aca="false">K291*I291</f>
        <v>0</v>
      </c>
    </row>
    <row r="292" customFormat="false" ht="12.8" hidden="false" customHeight="false" outlineLevel="0" collapsed="false">
      <c r="A292" s="0" t="n">
        <v>290</v>
      </c>
      <c r="B292" s="0" t="n">
        <f aca="false">calc_cohort!D$2+constant!$B$1*A292</f>
        <v>55.3666666666667</v>
      </c>
      <c r="C292" s="0" t="n">
        <f aca="false">_xlfn.FLOOR.MATH(B292)</f>
        <v>55</v>
      </c>
      <c r="D292" s="4" t="n">
        <f aca="false">INDEX(table_mortality_rate!$A$1:$C$2000,MATCH(C292,table_mortality_rate!$A$1:$A$2000,0),MATCH(calc_cohort!$E$2,table_mortality_rate!A$1:C$1,0))</f>
        <v>0.004469</v>
      </c>
      <c r="E292" s="0" t="n">
        <f aca="false">(1-D292)^constant!$B$1</f>
        <v>0.999626818330263</v>
      </c>
      <c r="F292" s="0" t="n">
        <f aca="false">IF(A292=0,1,F291*E292)</f>
        <v>0.961900741009628</v>
      </c>
      <c r="G292" s="5" t="b">
        <f aca="false">B292&gt;=calc_cohort!C$2</f>
        <v>0</v>
      </c>
      <c r="H292" s="0" t="n">
        <f aca="false">IF(G292,1,0)</f>
        <v>0</v>
      </c>
      <c r="I292" s="0" t="n">
        <f aca="false">calc_cohort!$B$2*constant!$B$1*F292*H292</f>
        <v>0</v>
      </c>
      <c r="J292" s="0" t="n">
        <f aca="false">INDEX(table_spot_rate!B$1:B$2000,MATCH(A292,table_spot_rate!A$1:A$2000,0))</f>
        <v>0.0570468315751273</v>
      </c>
      <c r="K292" s="0" t="n">
        <f aca="false">(1+J292)^(-A292*constant!$B$1)</f>
        <v>0.261651244247355</v>
      </c>
      <c r="L292" s="0" t="n">
        <f aca="false">K292*I292</f>
        <v>0</v>
      </c>
    </row>
    <row r="293" customFormat="false" ht="12.8" hidden="false" customHeight="false" outlineLevel="0" collapsed="false">
      <c r="A293" s="0" t="n">
        <v>291</v>
      </c>
      <c r="B293" s="0" t="n">
        <f aca="false">calc_cohort!D$2+constant!$B$1*A293</f>
        <v>55.45</v>
      </c>
      <c r="C293" s="0" t="n">
        <f aca="false">_xlfn.FLOOR.MATH(B293)</f>
        <v>55</v>
      </c>
      <c r="D293" s="4" t="n">
        <f aca="false">INDEX(table_mortality_rate!$A$1:$C$2000,MATCH(C293,table_mortality_rate!$A$1:$A$2000,0),MATCH(calc_cohort!$E$2,table_mortality_rate!A$1:C$1,0))</f>
        <v>0.004469</v>
      </c>
      <c r="E293" s="0" t="n">
        <f aca="false">(1-D293)^constant!$B$1</f>
        <v>0.999626818330263</v>
      </c>
      <c r="F293" s="0" t="n">
        <f aca="false">IF(A293=0,1,F292*E293)</f>
        <v>0.961541777284976</v>
      </c>
      <c r="G293" s="5" t="b">
        <f aca="false">B293&gt;=calc_cohort!C$2</f>
        <v>0</v>
      </c>
      <c r="H293" s="0" t="n">
        <f aca="false">IF(G293,1,0)</f>
        <v>0</v>
      </c>
      <c r="I293" s="0" t="n">
        <f aca="false">calc_cohort!$B$2*constant!$B$1*F293*H293</f>
        <v>0</v>
      </c>
      <c r="J293" s="0" t="n">
        <f aca="false">INDEX(table_spot_rate!B$1:B$2000,MATCH(A293,table_spot_rate!A$1:A$2000,0))</f>
        <v>0.0530000284732315</v>
      </c>
      <c r="K293" s="0" t="n">
        <f aca="false">(1+J293)^(-A293*constant!$B$1)</f>
        <v>0.285832569860803</v>
      </c>
      <c r="L293" s="0" t="n">
        <f aca="false">K293*I293</f>
        <v>0</v>
      </c>
    </row>
    <row r="294" customFormat="false" ht="12.8" hidden="false" customHeight="false" outlineLevel="0" collapsed="false">
      <c r="A294" s="0" t="n">
        <v>292</v>
      </c>
      <c r="B294" s="0" t="n">
        <f aca="false">calc_cohort!D$2+constant!$B$1*A294</f>
        <v>55.5333333333333</v>
      </c>
      <c r="C294" s="0" t="n">
        <f aca="false">_xlfn.FLOOR.MATH(B294)</f>
        <v>55</v>
      </c>
      <c r="D294" s="4" t="n">
        <f aca="false">INDEX(table_mortality_rate!$A$1:$C$2000,MATCH(C294,table_mortality_rate!$A$1:$A$2000,0),MATCH(calc_cohort!$E$2,table_mortality_rate!A$1:C$1,0))</f>
        <v>0.004469</v>
      </c>
      <c r="E294" s="0" t="n">
        <f aca="false">(1-D294)^constant!$B$1</f>
        <v>0.999626818330263</v>
      </c>
      <c r="F294" s="0" t="n">
        <f aca="false">IF(A294=0,1,F293*E294)</f>
        <v>0.961182947519007</v>
      </c>
      <c r="G294" s="5" t="b">
        <f aca="false">B294&gt;=calc_cohort!C$2</f>
        <v>0</v>
      </c>
      <c r="H294" s="0" t="n">
        <f aca="false">IF(G294,1,0)</f>
        <v>0</v>
      </c>
      <c r="I294" s="0" t="n">
        <f aca="false">calc_cohort!$B$2*constant!$B$1*F294*H294</f>
        <v>0</v>
      </c>
      <c r="J294" s="0" t="n">
        <f aca="false">INDEX(table_spot_rate!B$1:B$2000,MATCH(A294,table_spot_rate!A$1:A$2000,0))</f>
        <v>0.055798813226295</v>
      </c>
      <c r="K294" s="0" t="n">
        <f aca="false">(1+J294)^(-A294*constant!$B$1)</f>
        <v>0.26680351216925</v>
      </c>
      <c r="L294" s="0" t="n">
        <f aca="false">K294*I294</f>
        <v>0</v>
      </c>
    </row>
    <row r="295" customFormat="false" ht="12.8" hidden="false" customHeight="false" outlineLevel="0" collapsed="false">
      <c r="A295" s="0" t="n">
        <v>293</v>
      </c>
      <c r="B295" s="0" t="n">
        <f aca="false">calc_cohort!D$2+constant!$B$1*A295</f>
        <v>55.6166666666667</v>
      </c>
      <c r="C295" s="0" t="n">
        <f aca="false">_xlfn.FLOOR.MATH(B295)</f>
        <v>55</v>
      </c>
      <c r="D295" s="4" t="n">
        <f aca="false">INDEX(table_mortality_rate!$A$1:$C$2000,MATCH(C295,table_mortality_rate!$A$1:$A$2000,0),MATCH(calc_cohort!$E$2,table_mortality_rate!A$1:C$1,0))</f>
        <v>0.004469</v>
      </c>
      <c r="E295" s="0" t="n">
        <f aca="false">(1-D295)^constant!$B$1</f>
        <v>0.999626818330263</v>
      </c>
      <c r="F295" s="0" t="n">
        <f aca="false">IF(A295=0,1,F294*E295)</f>
        <v>0.960824251661729</v>
      </c>
      <c r="G295" s="5" t="b">
        <f aca="false">B295&gt;=calc_cohort!C$2</f>
        <v>0</v>
      </c>
      <c r="H295" s="0" t="n">
        <f aca="false">IF(G295,1,0)</f>
        <v>0</v>
      </c>
      <c r="I295" s="0" t="n">
        <f aca="false">calc_cohort!$B$2*constant!$B$1*F295*H295</f>
        <v>0</v>
      </c>
      <c r="J295" s="0" t="n">
        <f aca="false">INDEX(table_spot_rate!B$1:B$2000,MATCH(A295,table_spot_rate!A$1:A$2000,0))</f>
        <v>0.0587468634697537</v>
      </c>
      <c r="K295" s="0" t="n">
        <f aca="false">(1+J295)^(-A295*constant!$B$1)</f>
        <v>0.248118222420128</v>
      </c>
      <c r="L295" s="0" t="n">
        <f aca="false">K295*I295</f>
        <v>0</v>
      </c>
    </row>
    <row r="296" customFormat="false" ht="12.8" hidden="false" customHeight="false" outlineLevel="0" collapsed="false">
      <c r="A296" s="0" t="n">
        <v>294</v>
      </c>
      <c r="B296" s="0" t="n">
        <f aca="false">calc_cohort!D$2+constant!$B$1*A296</f>
        <v>55.7</v>
      </c>
      <c r="C296" s="0" t="n">
        <f aca="false">_xlfn.FLOOR.MATH(B296)</f>
        <v>55</v>
      </c>
      <c r="D296" s="4" t="n">
        <f aca="false">INDEX(table_mortality_rate!$A$1:$C$2000,MATCH(C296,table_mortality_rate!$A$1:$A$2000,0),MATCH(calc_cohort!$E$2,table_mortality_rate!A$1:C$1,0))</f>
        <v>0.004469</v>
      </c>
      <c r="E296" s="0" t="n">
        <f aca="false">(1-D296)^constant!$B$1</f>
        <v>0.999626818330263</v>
      </c>
      <c r="F296" s="0" t="n">
        <f aca="false">IF(A296=0,1,F295*E296)</f>
        <v>0.96046568966317</v>
      </c>
      <c r="G296" s="5" t="b">
        <f aca="false">B296&gt;=calc_cohort!C$2</f>
        <v>0</v>
      </c>
      <c r="H296" s="0" t="n">
        <f aca="false">IF(G296,1,0)</f>
        <v>0</v>
      </c>
      <c r="I296" s="0" t="n">
        <f aca="false">calc_cohort!$B$2*constant!$B$1*F296*H296</f>
        <v>0</v>
      </c>
      <c r="J296" s="0" t="n">
        <f aca="false">INDEX(table_spot_rate!B$1:B$2000,MATCH(A296,table_spot_rate!A$1:A$2000,0))</f>
        <v>0.0541830150339723</v>
      </c>
      <c r="K296" s="0" t="n">
        <f aca="false">(1+J296)^(-A296*constant!$B$1)</f>
        <v>0.274509666655876</v>
      </c>
      <c r="L296" s="0" t="n">
        <f aca="false">K296*I296</f>
        <v>0</v>
      </c>
    </row>
    <row r="297" customFormat="false" ht="12.8" hidden="false" customHeight="false" outlineLevel="0" collapsed="false">
      <c r="A297" s="0" t="n">
        <v>295</v>
      </c>
      <c r="B297" s="0" t="n">
        <f aca="false">calc_cohort!D$2+constant!$B$1*A297</f>
        <v>55.7833333333333</v>
      </c>
      <c r="C297" s="0" t="n">
        <f aca="false">_xlfn.FLOOR.MATH(B297)</f>
        <v>55</v>
      </c>
      <c r="D297" s="4" t="n">
        <f aca="false">INDEX(table_mortality_rate!$A$1:$C$2000,MATCH(C297,table_mortality_rate!$A$1:$A$2000,0),MATCH(calc_cohort!$E$2,table_mortality_rate!A$1:C$1,0))</f>
        <v>0.004469</v>
      </c>
      <c r="E297" s="0" t="n">
        <f aca="false">(1-D297)^constant!$B$1</f>
        <v>0.999626818330263</v>
      </c>
      <c r="F297" s="0" t="n">
        <f aca="false">IF(A297=0,1,F296*E297)</f>
        <v>0.960107261473376</v>
      </c>
      <c r="G297" s="5" t="b">
        <f aca="false">B297&gt;=calc_cohort!C$2</f>
        <v>0</v>
      </c>
      <c r="H297" s="0" t="n">
        <f aca="false">IF(G297,1,0)</f>
        <v>0</v>
      </c>
      <c r="I297" s="0" t="n">
        <f aca="false">calc_cohort!$B$2*constant!$B$1*F297*H297</f>
        <v>0</v>
      </c>
      <c r="J297" s="0" t="n">
        <f aca="false">INDEX(table_spot_rate!B$1:B$2000,MATCH(A297,table_spot_rate!A$1:A$2000,0))</f>
        <v>0.0502233046371368</v>
      </c>
      <c r="K297" s="0" t="n">
        <f aca="false">(1+J297)^(-A297*constant!$B$1)</f>
        <v>0.299796167347077</v>
      </c>
      <c r="L297" s="0" t="n">
        <f aca="false">K297*I297</f>
        <v>0</v>
      </c>
    </row>
    <row r="298" customFormat="false" ht="12.8" hidden="false" customHeight="false" outlineLevel="0" collapsed="false">
      <c r="A298" s="0" t="n">
        <v>296</v>
      </c>
      <c r="B298" s="0" t="n">
        <f aca="false">calc_cohort!D$2+constant!$B$1*A298</f>
        <v>55.8666666666667</v>
      </c>
      <c r="C298" s="0" t="n">
        <f aca="false">_xlfn.FLOOR.MATH(B298)</f>
        <v>55</v>
      </c>
      <c r="D298" s="4" t="n">
        <f aca="false">INDEX(table_mortality_rate!$A$1:$C$2000,MATCH(C298,table_mortality_rate!$A$1:$A$2000,0),MATCH(calc_cohort!$E$2,table_mortality_rate!A$1:C$1,0))</f>
        <v>0.004469</v>
      </c>
      <c r="E298" s="0" t="n">
        <f aca="false">(1-D298)^constant!$B$1</f>
        <v>0.999626818330263</v>
      </c>
      <c r="F298" s="0" t="n">
        <f aca="false">IF(A298=0,1,F297*E298)</f>
        <v>0.959748967042412</v>
      </c>
      <c r="G298" s="5" t="b">
        <f aca="false">B298&gt;=calc_cohort!C$2</f>
        <v>0</v>
      </c>
      <c r="H298" s="0" t="n">
        <f aca="false">IF(G298,1,0)</f>
        <v>0</v>
      </c>
      <c r="I298" s="0" t="n">
        <f aca="false">calc_cohort!$B$2*constant!$B$1*F298*H298</f>
        <v>0</v>
      </c>
      <c r="J298" s="0" t="n">
        <f aca="false">INDEX(table_spot_rate!B$1:B$2000,MATCH(A298,table_spot_rate!A$1:A$2000,0))</f>
        <v>0.056465034095794</v>
      </c>
      <c r="K298" s="0" t="n">
        <f aca="false">(1+J298)^(-A298*constant!$B$1)</f>
        <v>0.257972561254253</v>
      </c>
      <c r="L298" s="0" t="n">
        <f aca="false">K298*I298</f>
        <v>0</v>
      </c>
    </row>
    <row r="299" customFormat="false" ht="12.8" hidden="false" customHeight="false" outlineLevel="0" collapsed="false">
      <c r="A299" s="0" t="n">
        <v>297</v>
      </c>
      <c r="B299" s="0" t="n">
        <f aca="false">calc_cohort!D$2+constant!$B$1*A299</f>
        <v>55.95</v>
      </c>
      <c r="C299" s="0" t="n">
        <f aca="false">_xlfn.FLOOR.MATH(B299)</f>
        <v>55</v>
      </c>
      <c r="D299" s="4" t="n">
        <f aca="false">INDEX(table_mortality_rate!$A$1:$C$2000,MATCH(C299,table_mortality_rate!$A$1:$A$2000,0),MATCH(calc_cohort!$E$2,table_mortality_rate!A$1:C$1,0))</f>
        <v>0.004469</v>
      </c>
      <c r="E299" s="0" t="n">
        <f aca="false">(1-D299)^constant!$B$1</f>
        <v>0.999626818330263</v>
      </c>
      <c r="F299" s="0" t="n">
        <f aca="false">IF(A299=0,1,F298*E299)</f>
        <v>0.959390806320363</v>
      </c>
      <c r="G299" s="5" t="b">
        <f aca="false">B299&gt;=calc_cohort!C$2</f>
        <v>0</v>
      </c>
      <c r="H299" s="0" t="n">
        <f aca="false">IF(G299,1,0)</f>
        <v>0</v>
      </c>
      <c r="I299" s="0" t="n">
        <f aca="false">calc_cohort!$B$2*constant!$B$1*F299*H299</f>
        <v>0</v>
      </c>
      <c r="J299" s="0" t="n">
        <f aca="false">INDEX(table_spot_rate!B$1:B$2000,MATCH(A299,table_spot_rate!A$1:A$2000,0))</f>
        <v>0.0553983581130394</v>
      </c>
      <c r="K299" s="0" t="n">
        <f aca="false">(1+J299)^(-A299*constant!$B$1)</f>
        <v>0.263295688991245</v>
      </c>
      <c r="L299" s="0" t="n">
        <f aca="false">K299*I299</f>
        <v>0</v>
      </c>
    </row>
    <row r="300" customFormat="false" ht="12.8" hidden="false" customHeight="false" outlineLevel="0" collapsed="false">
      <c r="A300" s="0" t="n">
        <v>298</v>
      </c>
      <c r="B300" s="0" t="n">
        <f aca="false">calc_cohort!D$2+constant!$B$1*A300</f>
        <v>56.0333333333333</v>
      </c>
      <c r="C300" s="0" t="n">
        <f aca="false">_xlfn.FLOOR.MATH(B300)</f>
        <v>56</v>
      </c>
      <c r="D300" s="4" t="n">
        <f aca="false">INDEX(table_mortality_rate!$A$1:$C$2000,MATCH(C300,table_mortality_rate!$A$1:$A$2000,0),MATCH(calc_cohort!$E$2,table_mortality_rate!A$1:C$1,0))</f>
        <v>0.005025</v>
      </c>
      <c r="E300" s="0" t="n">
        <f aca="false">(1-D300)^constant!$B$1</f>
        <v>0.999580282458783</v>
      </c>
      <c r="F300" s="0" t="n">
        <f aca="false">IF(A300=0,1,F299*E300)</f>
        <v>0.958988133170068</v>
      </c>
      <c r="G300" s="5" t="b">
        <f aca="false">B300&gt;=calc_cohort!C$2</f>
        <v>0</v>
      </c>
      <c r="H300" s="0" t="n">
        <f aca="false">IF(G300,1,0)</f>
        <v>0</v>
      </c>
      <c r="I300" s="0" t="n">
        <f aca="false">calc_cohort!$B$2*constant!$B$1*F300*H300</f>
        <v>0</v>
      </c>
      <c r="J300" s="0" t="n">
        <f aca="false">INDEX(table_spot_rate!B$1:B$2000,MATCH(A300,table_spot_rate!A$1:A$2000,0))</f>
        <v>0.050990413278431</v>
      </c>
      <c r="K300" s="0" t="n">
        <f aca="false">(1+J300)^(-A300*constant!$B$1)</f>
        <v>0.29082445831961</v>
      </c>
      <c r="L300" s="0" t="n">
        <f aca="false">K300*I300</f>
        <v>0</v>
      </c>
    </row>
    <row r="301" customFormat="false" ht="12.8" hidden="false" customHeight="false" outlineLevel="0" collapsed="false">
      <c r="A301" s="0" t="n">
        <v>299</v>
      </c>
      <c r="B301" s="0" t="n">
        <f aca="false">calc_cohort!D$2+constant!$B$1*A301</f>
        <v>56.1166666666667</v>
      </c>
      <c r="C301" s="0" t="n">
        <f aca="false">_xlfn.FLOOR.MATH(B301)</f>
        <v>56</v>
      </c>
      <c r="D301" s="4" t="n">
        <f aca="false">INDEX(table_mortality_rate!$A$1:$C$2000,MATCH(C301,table_mortality_rate!$A$1:$A$2000,0),MATCH(calc_cohort!$E$2,table_mortality_rate!A$1:C$1,0))</f>
        <v>0.005025</v>
      </c>
      <c r="E301" s="0" t="n">
        <f aca="false">(1-D301)^constant!$B$1</f>
        <v>0.999580282458783</v>
      </c>
      <c r="F301" s="0" t="n">
        <f aca="false">IF(A301=0,1,F300*E301)</f>
        <v>0.958585629028757</v>
      </c>
      <c r="G301" s="5" t="b">
        <f aca="false">B301&gt;=calc_cohort!C$2</f>
        <v>0</v>
      </c>
      <c r="H301" s="0" t="n">
        <f aca="false">IF(G301,1,0)</f>
        <v>0</v>
      </c>
      <c r="I301" s="0" t="n">
        <f aca="false">calc_cohort!$B$2*constant!$B$1*F301*H301</f>
        <v>0</v>
      </c>
      <c r="J301" s="0" t="n">
        <f aca="false">INDEX(table_spot_rate!B$1:B$2000,MATCH(A301,table_spot_rate!A$1:A$2000,0))</f>
        <v>0.0565000307566197</v>
      </c>
      <c r="K301" s="0" t="n">
        <f aca="false">(1+J301)^(-A301*constant!$B$1)</f>
        <v>0.254244329442736</v>
      </c>
      <c r="L301" s="0" t="n">
        <f aca="false">K301*I301</f>
        <v>0</v>
      </c>
    </row>
    <row r="302" customFormat="false" ht="12.8" hidden="false" customHeight="false" outlineLevel="0" collapsed="false">
      <c r="A302" s="0" t="n">
        <v>300</v>
      </c>
      <c r="B302" s="0" t="n">
        <f aca="false">calc_cohort!D$2+constant!$B$1*A302</f>
        <v>56.2</v>
      </c>
      <c r="C302" s="0" t="n">
        <f aca="false">_xlfn.FLOOR.MATH(B302)</f>
        <v>56</v>
      </c>
      <c r="D302" s="4" t="n">
        <f aca="false">INDEX(table_mortality_rate!$A$1:$C$2000,MATCH(C302,table_mortality_rate!$A$1:$A$2000,0),MATCH(calc_cohort!$E$2,table_mortality_rate!A$1:C$1,0))</f>
        <v>0.005025</v>
      </c>
      <c r="E302" s="0" t="n">
        <f aca="false">(1-D302)^constant!$B$1</f>
        <v>0.999580282458783</v>
      </c>
      <c r="F302" s="0" t="n">
        <f aca="false">IF(A302=0,1,F301*E302)</f>
        <v>0.958183293825495</v>
      </c>
      <c r="G302" s="5" t="b">
        <f aca="false">B302&gt;=calc_cohort!C$2</f>
        <v>0</v>
      </c>
      <c r="H302" s="0" t="n">
        <f aca="false">IF(G302,1,0)</f>
        <v>0</v>
      </c>
      <c r="I302" s="0" t="n">
        <f aca="false">calc_cohort!$B$2*constant!$B$1*F302*H302</f>
        <v>0</v>
      </c>
      <c r="J302" s="0" t="n">
        <f aca="false">INDEX(table_spot_rate!B$1:B$2000,MATCH(A302,table_spot_rate!A$1:A$2000,0))</f>
        <v>0.0586606154073098</v>
      </c>
      <c r="K302" s="0" t="n">
        <f aca="false">(1+J302)^(-A302*constant!$B$1)</f>
        <v>0.240481174409436</v>
      </c>
      <c r="L302" s="0" t="n">
        <f aca="false">K302*I302</f>
        <v>0</v>
      </c>
    </row>
    <row r="303" customFormat="false" ht="12.8" hidden="false" customHeight="false" outlineLevel="0" collapsed="false">
      <c r="A303" s="0" t="n">
        <v>301</v>
      </c>
      <c r="B303" s="0" t="n">
        <f aca="false">calc_cohort!D$2+constant!$B$1*A303</f>
        <v>56.2833333333333</v>
      </c>
      <c r="C303" s="0" t="n">
        <f aca="false">_xlfn.FLOOR.MATH(B303)</f>
        <v>56</v>
      </c>
      <c r="D303" s="4" t="n">
        <f aca="false">INDEX(table_mortality_rate!$A$1:$C$2000,MATCH(C303,table_mortality_rate!$A$1:$A$2000,0),MATCH(calc_cohort!$E$2,table_mortality_rate!A$1:C$1,0))</f>
        <v>0.005025</v>
      </c>
      <c r="E303" s="0" t="n">
        <f aca="false">(1-D303)^constant!$B$1</f>
        <v>0.999580282458783</v>
      </c>
      <c r="F303" s="0" t="n">
        <f aca="false">IF(A303=0,1,F302*E303)</f>
        <v>0.957781127489375</v>
      </c>
      <c r="G303" s="5" t="b">
        <f aca="false">B303&gt;=calc_cohort!C$2</f>
        <v>0</v>
      </c>
      <c r="H303" s="0" t="n">
        <f aca="false">IF(G303,1,0)</f>
        <v>0</v>
      </c>
      <c r="I303" s="0" t="n">
        <f aca="false">calc_cohort!$B$2*constant!$B$1*F303*H303</f>
        <v>0</v>
      </c>
      <c r="J303" s="0" t="n">
        <f aca="false">INDEX(table_spot_rate!B$1:B$2000,MATCH(A303,table_spot_rate!A$1:A$2000,0))</f>
        <v>0.0516123318782771</v>
      </c>
      <c r="K303" s="0" t="n">
        <f aca="false">(1+J303)^(-A303*constant!$B$1)</f>
        <v>0.283000326890064</v>
      </c>
      <c r="L303" s="0" t="n">
        <f aca="false">K303*I303</f>
        <v>0</v>
      </c>
    </row>
    <row r="304" customFormat="false" ht="12.8" hidden="false" customHeight="false" outlineLevel="0" collapsed="false">
      <c r="A304" s="0" t="n">
        <v>302</v>
      </c>
      <c r="B304" s="0" t="n">
        <f aca="false">calc_cohort!D$2+constant!$B$1*A304</f>
        <v>56.3666666666667</v>
      </c>
      <c r="C304" s="0" t="n">
        <f aca="false">_xlfn.FLOOR.MATH(B304)</f>
        <v>56</v>
      </c>
      <c r="D304" s="4" t="n">
        <f aca="false">INDEX(table_mortality_rate!$A$1:$C$2000,MATCH(C304,table_mortality_rate!$A$1:$A$2000,0),MATCH(calc_cohort!$E$2,table_mortality_rate!A$1:C$1,0))</f>
        <v>0.005025</v>
      </c>
      <c r="E304" s="0" t="n">
        <f aca="false">(1-D304)^constant!$B$1</f>
        <v>0.999580282458783</v>
      </c>
      <c r="F304" s="0" t="n">
        <f aca="false">IF(A304=0,1,F303*E304)</f>
        <v>0.957379129949522</v>
      </c>
      <c r="G304" s="5" t="b">
        <f aca="false">B304&gt;=calc_cohort!C$2</f>
        <v>0</v>
      </c>
      <c r="H304" s="0" t="n">
        <f aca="false">IF(G304,1,0)</f>
        <v>0</v>
      </c>
      <c r="I304" s="0" t="n">
        <f aca="false">calc_cohort!$B$2*constant!$B$1*F304*H304</f>
        <v>0</v>
      </c>
      <c r="J304" s="0" t="n">
        <f aca="false">INDEX(table_spot_rate!B$1:B$2000,MATCH(A304,table_spot_rate!A$1:A$2000,0))</f>
        <v>0.0543808385799487</v>
      </c>
      <c r="K304" s="0" t="n">
        <f aca="false">(1+J304)^(-A304*constant!$B$1)</f>
        <v>0.263772467446919</v>
      </c>
      <c r="L304" s="0" t="n">
        <f aca="false">K304*I304</f>
        <v>0</v>
      </c>
    </row>
    <row r="305" customFormat="false" ht="12.8" hidden="false" customHeight="false" outlineLevel="0" collapsed="false">
      <c r="A305" s="0" t="n">
        <v>303</v>
      </c>
      <c r="B305" s="0" t="n">
        <f aca="false">calc_cohort!D$2+constant!$B$1*A305</f>
        <v>56.45</v>
      </c>
      <c r="C305" s="0" t="n">
        <f aca="false">_xlfn.FLOOR.MATH(B305)</f>
        <v>56</v>
      </c>
      <c r="D305" s="4" t="n">
        <f aca="false">INDEX(table_mortality_rate!$A$1:$C$2000,MATCH(C305,table_mortality_rate!$A$1:$A$2000,0),MATCH(calc_cohort!$E$2,table_mortality_rate!A$1:C$1,0))</f>
        <v>0.005025</v>
      </c>
      <c r="E305" s="0" t="n">
        <f aca="false">(1-D305)^constant!$B$1</f>
        <v>0.999580282458783</v>
      </c>
      <c r="F305" s="0" t="n">
        <f aca="false">IF(A305=0,1,F304*E305)</f>
        <v>0.956977301135087</v>
      </c>
      <c r="G305" s="5" t="b">
        <f aca="false">B305&gt;=calc_cohort!C$2</f>
        <v>0</v>
      </c>
      <c r="H305" s="0" t="n">
        <f aca="false">IF(G305,1,0)</f>
        <v>0</v>
      </c>
      <c r="I305" s="0" t="n">
        <f aca="false">calc_cohort!$B$2*constant!$B$1*F305*H305</f>
        <v>0</v>
      </c>
      <c r="J305" s="0" t="n">
        <f aca="false">INDEX(table_spot_rate!B$1:B$2000,MATCH(A305,table_spot_rate!A$1:A$2000,0))</f>
        <v>0.0528464203333707</v>
      </c>
      <c r="K305" s="0" t="n">
        <f aca="false">(1+J305)^(-A305*constant!$B$1)</f>
        <v>0.272447684937562</v>
      </c>
      <c r="L305" s="0" t="n">
        <f aca="false">K305*I305</f>
        <v>0</v>
      </c>
    </row>
    <row r="306" customFormat="false" ht="12.8" hidden="false" customHeight="false" outlineLevel="0" collapsed="false">
      <c r="A306" s="0" t="n">
        <v>304</v>
      </c>
      <c r="B306" s="0" t="n">
        <f aca="false">calc_cohort!D$2+constant!$B$1*A306</f>
        <v>56.5333333333333</v>
      </c>
      <c r="C306" s="0" t="n">
        <f aca="false">_xlfn.FLOOR.MATH(B306)</f>
        <v>56</v>
      </c>
      <c r="D306" s="4" t="n">
        <f aca="false">INDEX(table_mortality_rate!$A$1:$C$2000,MATCH(C306,table_mortality_rate!$A$1:$A$2000,0),MATCH(calc_cohort!$E$2,table_mortality_rate!A$1:C$1,0))</f>
        <v>0.005025</v>
      </c>
      <c r="E306" s="0" t="n">
        <f aca="false">(1-D306)^constant!$B$1</f>
        <v>0.999580282458783</v>
      </c>
      <c r="F306" s="0" t="n">
        <f aca="false">IF(A306=0,1,F305*E306)</f>
        <v>0.956575640975254</v>
      </c>
      <c r="G306" s="5" t="b">
        <f aca="false">B306&gt;=calc_cohort!C$2</f>
        <v>0</v>
      </c>
      <c r="H306" s="0" t="n">
        <f aca="false">IF(G306,1,0)</f>
        <v>0</v>
      </c>
      <c r="I306" s="0" t="n">
        <f aca="false">calc_cohort!$B$2*constant!$B$1*F306*H306</f>
        <v>0</v>
      </c>
      <c r="J306" s="0" t="n">
        <f aca="false">INDEX(table_spot_rate!B$1:B$2000,MATCH(A306,table_spot_rate!A$1:A$2000,0))</f>
        <v>0.0559497780717427</v>
      </c>
      <c r="K306" s="0" t="n">
        <f aca="false">(1+J306)^(-A306*constant!$B$1)</f>
        <v>0.251789335105618</v>
      </c>
      <c r="L306" s="0" t="n">
        <f aca="false">K306*I306</f>
        <v>0</v>
      </c>
    </row>
    <row r="307" customFormat="false" ht="12.8" hidden="false" customHeight="false" outlineLevel="0" collapsed="false">
      <c r="A307" s="0" t="n">
        <v>305</v>
      </c>
      <c r="B307" s="0" t="n">
        <f aca="false">calc_cohort!D$2+constant!$B$1*A307</f>
        <v>56.6166666666667</v>
      </c>
      <c r="C307" s="0" t="n">
        <f aca="false">_xlfn.FLOOR.MATH(B307)</f>
        <v>56</v>
      </c>
      <c r="D307" s="4" t="n">
        <f aca="false">INDEX(table_mortality_rate!$A$1:$C$2000,MATCH(C307,table_mortality_rate!$A$1:$A$2000,0),MATCH(calc_cohort!$E$2,table_mortality_rate!A$1:C$1,0))</f>
        <v>0.005025</v>
      </c>
      <c r="E307" s="0" t="n">
        <f aca="false">(1-D307)^constant!$B$1</f>
        <v>0.999580282458783</v>
      </c>
      <c r="F307" s="0" t="n">
        <f aca="false">IF(A307=0,1,F306*E307)</f>
        <v>0.956174149399235</v>
      </c>
      <c r="G307" s="5" t="b">
        <f aca="false">B307&gt;=calc_cohort!C$2</f>
        <v>0</v>
      </c>
      <c r="H307" s="0" t="n">
        <f aca="false">IF(G307,1,0)</f>
        <v>0</v>
      </c>
      <c r="I307" s="0" t="n">
        <f aca="false">calc_cohort!$B$2*constant!$B$1*F307*H307</f>
        <v>0</v>
      </c>
      <c r="J307" s="0" t="n">
        <f aca="false">INDEX(table_spot_rate!B$1:B$2000,MATCH(A307,table_spot_rate!A$1:A$2000,0))</f>
        <v>0.0532250074770301</v>
      </c>
      <c r="K307" s="0" t="n">
        <f aca="false">(1+J307)^(-A307*constant!$B$1)</f>
        <v>0.26766224996727</v>
      </c>
      <c r="L307" s="0" t="n">
        <f aca="false">K307*I307</f>
        <v>0</v>
      </c>
    </row>
    <row r="308" customFormat="false" ht="12.8" hidden="false" customHeight="false" outlineLevel="0" collapsed="false">
      <c r="A308" s="0" t="n">
        <v>306</v>
      </c>
      <c r="B308" s="0" t="n">
        <f aca="false">calc_cohort!D$2+constant!$B$1*A308</f>
        <v>56.7</v>
      </c>
      <c r="C308" s="0" t="n">
        <f aca="false">_xlfn.FLOOR.MATH(B308)</f>
        <v>56</v>
      </c>
      <c r="D308" s="4" t="n">
        <f aca="false">INDEX(table_mortality_rate!$A$1:$C$2000,MATCH(C308,table_mortality_rate!$A$1:$A$2000,0),MATCH(calc_cohort!$E$2,table_mortality_rate!A$1:C$1,0))</f>
        <v>0.005025</v>
      </c>
      <c r="E308" s="0" t="n">
        <f aca="false">(1-D308)^constant!$B$1</f>
        <v>0.999580282458783</v>
      </c>
      <c r="F308" s="0" t="n">
        <f aca="false">IF(A308=0,1,F307*E308)</f>
        <v>0.955772826336274</v>
      </c>
      <c r="G308" s="5" t="b">
        <f aca="false">B308&gt;=calc_cohort!C$2</f>
        <v>0</v>
      </c>
      <c r="H308" s="0" t="n">
        <f aca="false">IF(G308,1,0)</f>
        <v>0</v>
      </c>
      <c r="I308" s="0" t="n">
        <f aca="false">calc_cohort!$B$2*constant!$B$1*F308*H308</f>
        <v>0</v>
      </c>
      <c r="J308" s="0" t="n">
        <f aca="false">INDEX(table_spot_rate!B$1:B$2000,MATCH(A308,table_spot_rate!A$1:A$2000,0))</f>
        <v>0.0513205086310068</v>
      </c>
      <c r="K308" s="0" t="n">
        <f aca="false">(1+J308)^(-A308*constant!$B$1)</f>
        <v>0.279096261658991</v>
      </c>
      <c r="L308" s="0" t="n">
        <f aca="false">K308*I308</f>
        <v>0</v>
      </c>
    </row>
    <row r="309" customFormat="false" ht="12.8" hidden="false" customHeight="false" outlineLevel="0" collapsed="false">
      <c r="A309" s="0" t="n">
        <v>307</v>
      </c>
      <c r="B309" s="0" t="n">
        <f aca="false">calc_cohort!D$2+constant!$B$1*A309</f>
        <v>56.7833333333333</v>
      </c>
      <c r="C309" s="0" t="n">
        <f aca="false">_xlfn.FLOOR.MATH(B309)</f>
        <v>56</v>
      </c>
      <c r="D309" s="4" t="n">
        <f aca="false">INDEX(table_mortality_rate!$A$1:$C$2000,MATCH(C309,table_mortality_rate!$A$1:$A$2000,0),MATCH(calc_cohort!$E$2,table_mortality_rate!A$1:C$1,0))</f>
        <v>0.005025</v>
      </c>
      <c r="E309" s="0" t="n">
        <f aca="false">(1-D309)^constant!$B$1</f>
        <v>0.999580282458783</v>
      </c>
      <c r="F309" s="0" t="n">
        <f aca="false">IF(A309=0,1,F308*E309)</f>
        <v>0.955371671715642</v>
      </c>
      <c r="G309" s="5" t="b">
        <f aca="false">B309&gt;=calc_cohort!C$2</f>
        <v>0</v>
      </c>
      <c r="H309" s="0" t="n">
        <f aca="false">IF(G309,1,0)</f>
        <v>0</v>
      </c>
      <c r="I309" s="0" t="n">
        <f aca="false">calc_cohort!$B$2*constant!$B$1*F309*H309</f>
        <v>0</v>
      </c>
      <c r="J309" s="0" t="n">
        <f aca="false">INDEX(table_spot_rate!B$1:B$2000,MATCH(A309,table_spot_rate!A$1:A$2000,0))</f>
        <v>0.0582078461981334</v>
      </c>
      <c r="K309" s="0" t="n">
        <f aca="false">(1+J309)^(-A309*constant!$B$1)</f>
        <v>0.235175727732468</v>
      </c>
      <c r="L309" s="0" t="n">
        <f aca="false">K309*I309</f>
        <v>0</v>
      </c>
    </row>
    <row r="310" customFormat="false" ht="12.8" hidden="false" customHeight="false" outlineLevel="0" collapsed="false">
      <c r="A310" s="0" t="n">
        <v>308</v>
      </c>
      <c r="B310" s="0" t="n">
        <f aca="false">calc_cohort!D$2+constant!$B$1*A310</f>
        <v>56.8666666666667</v>
      </c>
      <c r="C310" s="0" t="n">
        <f aca="false">_xlfn.FLOOR.MATH(B310)</f>
        <v>56</v>
      </c>
      <c r="D310" s="4" t="n">
        <f aca="false">INDEX(table_mortality_rate!$A$1:$C$2000,MATCH(C310,table_mortality_rate!$A$1:$A$2000,0),MATCH(calc_cohort!$E$2,table_mortality_rate!A$1:C$1,0))</f>
        <v>0.005025</v>
      </c>
      <c r="E310" s="0" t="n">
        <f aca="false">(1-D310)^constant!$B$1</f>
        <v>0.999580282458783</v>
      </c>
      <c r="F310" s="0" t="n">
        <f aca="false">IF(A310=0,1,F309*E310)</f>
        <v>0.954970685466641</v>
      </c>
      <c r="G310" s="5" t="b">
        <f aca="false">B310&gt;=calc_cohort!C$2</f>
        <v>0</v>
      </c>
      <c r="H310" s="0" t="n">
        <f aca="false">IF(G310,1,0)</f>
        <v>0</v>
      </c>
      <c r="I310" s="0" t="n">
        <f aca="false">calc_cohort!$B$2*constant!$B$1*F310*H310</f>
        <v>0</v>
      </c>
      <c r="J310" s="0" t="n">
        <f aca="false">INDEX(table_spot_rate!B$1:B$2000,MATCH(A310,table_spot_rate!A$1:A$2000,0))</f>
        <v>0.0536604382436284</v>
      </c>
      <c r="K310" s="0" t="n">
        <f aca="false">(1+J310)^(-A310*constant!$B$1)</f>
        <v>0.261426356091143</v>
      </c>
      <c r="L310" s="0" t="n">
        <f aca="false">K310*I310</f>
        <v>0</v>
      </c>
    </row>
    <row r="311" customFormat="false" ht="12.8" hidden="false" customHeight="false" outlineLevel="0" collapsed="false">
      <c r="A311" s="0" t="n">
        <v>309</v>
      </c>
      <c r="B311" s="0" t="n">
        <f aca="false">calc_cohort!D$2+constant!$B$1*A311</f>
        <v>56.95</v>
      </c>
      <c r="C311" s="0" t="n">
        <f aca="false">_xlfn.FLOOR.MATH(B311)</f>
        <v>56</v>
      </c>
      <c r="D311" s="4" t="n">
        <f aca="false">INDEX(table_mortality_rate!$A$1:$C$2000,MATCH(C311,table_mortality_rate!$A$1:$A$2000,0),MATCH(calc_cohort!$E$2,table_mortality_rate!A$1:C$1,0))</f>
        <v>0.005025</v>
      </c>
      <c r="E311" s="0" t="n">
        <f aca="false">(1-D311)^constant!$B$1</f>
        <v>0.999580282458783</v>
      </c>
      <c r="F311" s="0" t="n">
        <f aca="false">IF(A311=0,1,F310*E311)</f>
        <v>0.954569867518603</v>
      </c>
      <c r="G311" s="5" t="b">
        <f aca="false">B311&gt;=calc_cohort!C$2</f>
        <v>0</v>
      </c>
      <c r="H311" s="0" t="n">
        <f aca="false">IF(G311,1,0)</f>
        <v>0</v>
      </c>
      <c r="I311" s="0" t="n">
        <f aca="false">calc_cohort!$B$2*constant!$B$1*F311*H311</f>
        <v>0</v>
      </c>
      <c r="J311" s="0" t="n">
        <f aca="false">INDEX(table_spot_rate!B$1:B$2000,MATCH(A311,table_spot_rate!A$1:A$2000,0))</f>
        <v>0.0525272485277206</v>
      </c>
      <c r="K311" s="0" t="n">
        <f aca="false">(1+J311)^(-A311*constant!$B$1)</f>
        <v>0.267603192386967</v>
      </c>
      <c r="L311" s="0" t="n">
        <f aca="false">K311*I311</f>
        <v>0</v>
      </c>
    </row>
    <row r="312" customFormat="false" ht="12.8" hidden="false" customHeight="false" outlineLevel="0" collapsed="false">
      <c r="A312" s="0" t="n">
        <v>310</v>
      </c>
      <c r="B312" s="0" t="n">
        <f aca="false">calc_cohort!D$2+constant!$B$1*A312</f>
        <v>57.0333333333333</v>
      </c>
      <c r="C312" s="0" t="n">
        <f aca="false">_xlfn.FLOOR.MATH(B312)</f>
        <v>57</v>
      </c>
      <c r="D312" s="4" t="n">
        <f aca="false">INDEX(table_mortality_rate!$A$1:$C$2000,MATCH(C312,table_mortality_rate!$A$1:$A$2000,0),MATCH(calc_cohort!$E$2,table_mortality_rate!A$1:C$1,0))</f>
        <v>0.00565</v>
      </c>
      <c r="E312" s="0" t="n">
        <f aca="false">(1-D312)^constant!$B$1</f>
        <v>0.999527942985104</v>
      </c>
      <c r="F312" s="0" t="n">
        <f aca="false">IF(A312=0,1,F311*E312)</f>
        <v>0.954119256116432</v>
      </c>
      <c r="G312" s="5" t="b">
        <f aca="false">B312&gt;=calc_cohort!C$2</f>
        <v>0</v>
      </c>
      <c r="H312" s="0" t="n">
        <f aca="false">IF(G312,1,0)</f>
        <v>0</v>
      </c>
      <c r="I312" s="0" t="n">
        <f aca="false">calc_cohort!$B$2*constant!$B$1*F312*H312</f>
        <v>0</v>
      </c>
      <c r="J312" s="0" t="n">
        <f aca="false">INDEX(table_spot_rate!B$1:B$2000,MATCH(A312,table_spot_rate!A$1:A$2000,0))</f>
        <v>0.0520323606104426</v>
      </c>
      <c r="K312" s="0" t="n">
        <f aca="false">(1+J312)^(-A312*constant!$B$1)</f>
        <v>0.269721113247203</v>
      </c>
      <c r="L312" s="0" t="n">
        <f aca="false">K312*I312</f>
        <v>0</v>
      </c>
    </row>
    <row r="313" customFormat="false" ht="12.8" hidden="false" customHeight="false" outlineLevel="0" collapsed="false">
      <c r="A313" s="0" t="n">
        <v>311</v>
      </c>
      <c r="B313" s="0" t="n">
        <f aca="false">calc_cohort!D$2+constant!$B$1*A313</f>
        <v>57.1166666666667</v>
      </c>
      <c r="C313" s="0" t="n">
        <f aca="false">_xlfn.FLOOR.MATH(B313)</f>
        <v>57</v>
      </c>
      <c r="D313" s="4" t="n">
        <f aca="false">INDEX(table_mortality_rate!$A$1:$C$2000,MATCH(C313,table_mortality_rate!$A$1:$A$2000,0),MATCH(calc_cohort!$E$2,table_mortality_rate!A$1:C$1,0))</f>
        <v>0.00565</v>
      </c>
      <c r="E313" s="0" t="n">
        <f aca="false">(1-D313)^constant!$B$1</f>
        <v>0.999527942985104</v>
      </c>
      <c r="F313" s="0" t="n">
        <f aca="false">IF(A313=0,1,F312*E313)</f>
        <v>0.953668857428535</v>
      </c>
      <c r="G313" s="5" t="b">
        <f aca="false">B313&gt;=calc_cohort!C$2</f>
        <v>0</v>
      </c>
      <c r="H313" s="0" t="n">
        <f aca="false">IF(G313,1,0)</f>
        <v>0</v>
      </c>
      <c r="I313" s="0" t="n">
        <f aca="false">calc_cohort!$B$2*constant!$B$1*F313*H313</f>
        <v>0</v>
      </c>
      <c r="J313" s="0" t="n">
        <f aca="false">INDEX(table_spot_rate!B$1:B$2000,MATCH(A313,table_spot_rate!A$1:A$2000,0))</f>
        <v>0.0558767893577749</v>
      </c>
      <c r="K313" s="0" t="n">
        <f aca="false">(1+J313)^(-A313*constant!$B$1)</f>
        <v>0.244356247792805</v>
      </c>
      <c r="L313" s="0" t="n">
        <f aca="false">K313*I313</f>
        <v>0</v>
      </c>
    </row>
    <row r="314" customFormat="false" ht="12.8" hidden="false" customHeight="false" outlineLevel="0" collapsed="false">
      <c r="A314" s="0" t="n">
        <v>312</v>
      </c>
      <c r="B314" s="0" t="n">
        <f aca="false">calc_cohort!D$2+constant!$B$1*A314</f>
        <v>57.2</v>
      </c>
      <c r="C314" s="0" t="n">
        <f aca="false">_xlfn.FLOOR.MATH(B314)</f>
        <v>57</v>
      </c>
      <c r="D314" s="4" t="n">
        <f aca="false">INDEX(table_mortality_rate!$A$1:$C$2000,MATCH(C314,table_mortality_rate!$A$1:$A$2000,0),MATCH(calc_cohort!$E$2,table_mortality_rate!A$1:C$1,0))</f>
        <v>0.00565</v>
      </c>
      <c r="E314" s="0" t="n">
        <f aca="false">(1-D314)^constant!$B$1</f>
        <v>0.999527942985104</v>
      </c>
      <c r="F314" s="0" t="n">
        <f aca="false">IF(A314=0,1,F313*E314)</f>
        <v>0.953218671354497</v>
      </c>
      <c r="G314" s="5" t="b">
        <f aca="false">B314&gt;=calc_cohort!C$2</f>
        <v>0</v>
      </c>
      <c r="H314" s="0" t="n">
        <f aca="false">IF(G314,1,0)</f>
        <v>0</v>
      </c>
      <c r="I314" s="0" t="n">
        <f aca="false">calc_cohort!$B$2*constant!$B$1*F314*H314</f>
        <v>0</v>
      </c>
      <c r="J314" s="0" t="n">
        <f aca="false">INDEX(table_spot_rate!B$1:B$2000,MATCH(A314,table_spot_rate!A$1:A$2000,0))</f>
        <v>0.0589879237941085</v>
      </c>
      <c r="K314" s="0" t="n">
        <f aca="false">(1+J314)^(-A314*constant!$B$1)</f>
        <v>0.225337670980165</v>
      </c>
      <c r="L314" s="0" t="n">
        <f aca="false">K314*I314</f>
        <v>0</v>
      </c>
    </row>
    <row r="315" customFormat="false" ht="12.8" hidden="false" customHeight="false" outlineLevel="0" collapsed="false">
      <c r="A315" s="0" t="n">
        <v>313</v>
      </c>
      <c r="B315" s="0" t="n">
        <f aca="false">calc_cohort!D$2+constant!$B$1*A315</f>
        <v>57.2833333333333</v>
      </c>
      <c r="C315" s="0" t="n">
        <f aca="false">_xlfn.FLOOR.MATH(B315)</f>
        <v>57</v>
      </c>
      <c r="D315" s="4" t="n">
        <f aca="false">INDEX(table_mortality_rate!$A$1:$C$2000,MATCH(C315,table_mortality_rate!$A$1:$A$2000,0),MATCH(calc_cohort!$E$2,table_mortality_rate!A$1:C$1,0))</f>
        <v>0.00565</v>
      </c>
      <c r="E315" s="0" t="n">
        <f aca="false">(1-D315)^constant!$B$1</f>
        <v>0.999527942985104</v>
      </c>
      <c r="F315" s="0" t="n">
        <f aca="false">IF(A315=0,1,F314*E315)</f>
        <v>0.952768697793954</v>
      </c>
      <c r="G315" s="5" t="b">
        <f aca="false">B315&gt;=calc_cohort!C$2</f>
        <v>0</v>
      </c>
      <c r="H315" s="0" t="n">
        <f aca="false">IF(G315,1,0)</f>
        <v>0</v>
      </c>
      <c r="I315" s="0" t="n">
        <f aca="false">calc_cohort!$B$2*constant!$B$1*F315*H315</f>
        <v>0</v>
      </c>
      <c r="J315" s="0" t="n">
        <f aca="false">INDEX(table_spot_rate!B$1:B$2000,MATCH(A315,table_spot_rate!A$1:A$2000,0))</f>
        <v>0.0588030172322895</v>
      </c>
      <c r="K315" s="0" t="n">
        <f aca="false">(1+J315)^(-A315*constant!$B$1)</f>
        <v>0.225287784068108</v>
      </c>
      <c r="L315" s="0" t="n">
        <f aca="false">K315*I315</f>
        <v>0</v>
      </c>
    </row>
    <row r="316" customFormat="false" ht="12.8" hidden="false" customHeight="false" outlineLevel="0" collapsed="false">
      <c r="A316" s="0" t="n">
        <v>314</v>
      </c>
      <c r="B316" s="0" t="n">
        <f aca="false">calc_cohort!D$2+constant!$B$1*A316</f>
        <v>57.3666666666667</v>
      </c>
      <c r="C316" s="0" t="n">
        <f aca="false">_xlfn.FLOOR.MATH(B316)</f>
        <v>57</v>
      </c>
      <c r="D316" s="4" t="n">
        <f aca="false">INDEX(table_mortality_rate!$A$1:$C$2000,MATCH(C316,table_mortality_rate!$A$1:$A$2000,0),MATCH(calc_cohort!$E$2,table_mortality_rate!A$1:C$1,0))</f>
        <v>0.00565</v>
      </c>
      <c r="E316" s="0" t="n">
        <f aca="false">(1-D316)^constant!$B$1</f>
        <v>0.999527942985104</v>
      </c>
      <c r="F316" s="0" t="n">
        <f aca="false">IF(A316=0,1,F315*E316)</f>
        <v>0.952318936646587</v>
      </c>
      <c r="G316" s="5" t="b">
        <f aca="false">B316&gt;=calc_cohort!C$2</f>
        <v>0</v>
      </c>
      <c r="H316" s="0" t="n">
        <f aca="false">IF(G316,1,0)</f>
        <v>0</v>
      </c>
      <c r="I316" s="0" t="n">
        <f aca="false">calc_cohort!$B$2*constant!$B$1*F316*H316</f>
        <v>0</v>
      </c>
      <c r="J316" s="0" t="n">
        <f aca="false">INDEX(table_spot_rate!B$1:B$2000,MATCH(A316,table_spot_rate!A$1:A$2000,0))</f>
        <v>0.0541510342661753</v>
      </c>
      <c r="K316" s="0" t="n">
        <f aca="false">(1+J316)^(-A316*constant!$B$1)</f>
        <v>0.251599075537102</v>
      </c>
      <c r="L316" s="0" t="n">
        <f aca="false">K316*I316</f>
        <v>0</v>
      </c>
    </row>
    <row r="317" customFormat="false" ht="12.8" hidden="false" customHeight="false" outlineLevel="0" collapsed="false">
      <c r="A317" s="0" t="n">
        <v>315</v>
      </c>
      <c r="B317" s="0" t="n">
        <f aca="false">calc_cohort!D$2+constant!$B$1*A317</f>
        <v>57.45</v>
      </c>
      <c r="C317" s="0" t="n">
        <f aca="false">_xlfn.FLOOR.MATH(B317)</f>
        <v>57</v>
      </c>
      <c r="D317" s="4" t="n">
        <f aca="false">INDEX(table_mortality_rate!$A$1:$C$2000,MATCH(C317,table_mortality_rate!$A$1:$A$2000,0),MATCH(calc_cohort!$E$2,table_mortality_rate!A$1:C$1,0))</f>
        <v>0.00565</v>
      </c>
      <c r="E317" s="0" t="n">
        <f aca="false">(1-D317)^constant!$B$1</f>
        <v>0.999527942985104</v>
      </c>
      <c r="F317" s="0" t="n">
        <f aca="false">IF(A317=0,1,F316*E317)</f>
        <v>0.951869387812124</v>
      </c>
      <c r="G317" s="5" t="b">
        <f aca="false">B317&gt;=calc_cohort!C$2</f>
        <v>0</v>
      </c>
      <c r="H317" s="0" t="n">
        <f aca="false">IF(G317,1,0)</f>
        <v>0</v>
      </c>
      <c r="I317" s="0" t="n">
        <f aca="false">calc_cohort!$B$2*constant!$B$1*F317*H317</f>
        <v>0</v>
      </c>
      <c r="J317" s="0" t="n">
        <f aca="false">INDEX(table_spot_rate!B$1:B$2000,MATCH(A317,table_spot_rate!A$1:A$2000,0))</f>
        <v>0.0577910913261078</v>
      </c>
      <c r="K317" s="0" t="n">
        <f aca="false">(1+J317)^(-A317*constant!$B$1)</f>
        <v>0.228824483866458</v>
      </c>
      <c r="L317" s="0" t="n">
        <f aca="false">K317*I317</f>
        <v>0</v>
      </c>
    </row>
    <row r="318" customFormat="false" ht="12.8" hidden="false" customHeight="false" outlineLevel="0" collapsed="false">
      <c r="A318" s="0" t="n">
        <v>316</v>
      </c>
      <c r="B318" s="0" t="n">
        <f aca="false">calc_cohort!D$2+constant!$B$1*A318</f>
        <v>57.5333333333333</v>
      </c>
      <c r="C318" s="0" t="n">
        <f aca="false">_xlfn.FLOOR.MATH(B318)</f>
        <v>57</v>
      </c>
      <c r="D318" s="4" t="n">
        <f aca="false">INDEX(table_mortality_rate!$A$1:$C$2000,MATCH(C318,table_mortality_rate!$A$1:$A$2000,0),MATCH(calc_cohort!$E$2,table_mortality_rate!A$1:C$1,0))</f>
        <v>0.00565</v>
      </c>
      <c r="E318" s="0" t="n">
        <f aca="false">(1-D318)^constant!$B$1</f>
        <v>0.999527942985104</v>
      </c>
      <c r="F318" s="0" t="n">
        <f aca="false">IF(A318=0,1,F317*E318)</f>
        <v>0.951420051190342</v>
      </c>
      <c r="G318" s="5" t="b">
        <f aca="false">B318&gt;=calc_cohort!C$2</f>
        <v>0</v>
      </c>
      <c r="H318" s="0" t="n">
        <f aca="false">IF(G318,1,0)</f>
        <v>0</v>
      </c>
      <c r="I318" s="0" t="n">
        <f aca="false">calc_cohort!$B$2*constant!$B$1*F318*H318</f>
        <v>0</v>
      </c>
      <c r="J318" s="0" t="n">
        <f aca="false">INDEX(table_spot_rate!B$1:B$2000,MATCH(A318,table_spot_rate!A$1:A$2000,0))</f>
        <v>0.0594274913028605</v>
      </c>
      <c r="K318" s="0" t="n">
        <f aca="false">(1+J318)^(-A318*constant!$B$1)</f>
        <v>0.218670764668782</v>
      </c>
      <c r="L318" s="0" t="n">
        <f aca="false">K318*I318</f>
        <v>0</v>
      </c>
    </row>
    <row r="319" customFormat="false" ht="12.8" hidden="false" customHeight="false" outlineLevel="0" collapsed="false">
      <c r="A319" s="0" t="n">
        <v>317</v>
      </c>
      <c r="B319" s="0" t="n">
        <f aca="false">calc_cohort!D$2+constant!$B$1*A319</f>
        <v>57.6166666666667</v>
      </c>
      <c r="C319" s="0" t="n">
        <f aca="false">_xlfn.FLOOR.MATH(B319)</f>
        <v>57</v>
      </c>
      <c r="D319" s="4" t="n">
        <f aca="false">INDEX(table_mortality_rate!$A$1:$C$2000,MATCH(C319,table_mortality_rate!$A$1:$A$2000,0),MATCH(calc_cohort!$E$2,table_mortality_rate!A$1:C$1,0))</f>
        <v>0.00565</v>
      </c>
      <c r="E319" s="0" t="n">
        <f aca="false">(1-D319)^constant!$B$1</f>
        <v>0.999527942985104</v>
      </c>
      <c r="F319" s="0" t="n">
        <f aca="false">IF(A319=0,1,F318*E319)</f>
        <v>0.950970926681065</v>
      </c>
      <c r="G319" s="5" t="b">
        <f aca="false">B319&gt;=calc_cohort!C$2</f>
        <v>0</v>
      </c>
      <c r="H319" s="0" t="n">
        <f aca="false">IF(G319,1,0)</f>
        <v>0</v>
      </c>
      <c r="I319" s="0" t="n">
        <f aca="false">calc_cohort!$B$2*constant!$B$1*F319*H319</f>
        <v>0</v>
      </c>
      <c r="J319" s="0" t="n">
        <f aca="false">INDEX(table_spot_rate!B$1:B$2000,MATCH(A319,table_spot_rate!A$1:A$2000,0))</f>
        <v>0.058945617590452</v>
      </c>
      <c r="K319" s="0" t="n">
        <f aca="false">(1+J319)^(-A319*constant!$B$1)</f>
        <v>0.220252519045137</v>
      </c>
      <c r="L319" s="0" t="n">
        <f aca="false">K319*I319</f>
        <v>0</v>
      </c>
    </row>
    <row r="320" customFormat="false" ht="12.8" hidden="false" customHeight="false" outlineLevel="0" collapsed="false">
      <c r="A320" s="0" t="n">
        <v>318</v>
      </c>
      <c r="B320" s="0" t="n">
        <f aca="false">calc_cohort!D$2+constant!$B$1*A320</f>
        <v>57.7</v>
      </c>
      <c r="C320" s="0" t="n">
        <f aca="false">_xlfn.FLOOR.MATH(B320)</f>
        <v>57</v>
      </c>
      <c r="D320" s="4" t="n">
        <f aca="false">INDEX(table_mortality_rate!$A$1:$C$2000,MATCH(C320,table_mortality_rate!$A$1:$A$2000,0),MATCH(calc_cohort!$E$2,table_mortality_rate!A$1:C$1,0))</f>
        <v>0.00565</v>
      </c>
      <c r="E320" s="0" t="n">
        <f aca="false">(1-D320)^constant!$B$1</f>
        <v>0.999527942985104</v>
      </c>
      <c r="F320" s="0" t="n">
        <f aca="false">IF(A320=0,1,F319*E320)</f>
        <v>0.950522014184163</v>
      </c>
      <c r="G320" s="5" t="b">
        <f aca="false">B320&gt;=calc_cohort!C$2</f>
        <v>0</v>
      </c>
      <c r="H320" s="0" t="n">
        <f aca="false">IF(G320,1,0)</f>
        <v>0</v>
      </c>
      <c r="I320" s="0" t="n">
        <f aca="false">calc_cohort!$B$2*constant!$B$1*F320*H320</f>
        <v>0</v>
      </c>
      <c r="J320" s="0" t="n">
        <f aca="false">INDEX(table_spot_rate!B$1:B$2000,MATCH(A320,table_spot_rate!A$1:A$2000,0))</f>
        <v>0.0554880875608473</v>
      </c>
      <c r="K320" s="0" t="n">
        <f aca="false">(1+J320)^(-A320*constant!$B$1)</f>
        <v>0.239048813393003</v>
      </c>
      <c r="L320" s="0" t="n">
        <f aca="false">K320*I320</f>
        <v>0</v>
      </c>
    </row>
    <row r="321" customFormat="false" ht="12.8" hidden="false" customHeight="false" outlineLevel="0" collapsed="false">
      <c r="A321" s="0" t="n">
        <v>319</v>
      </c>
      <c r="B321" s="0" t="n">
        <f aca="false">calc_cohort!D$2+constant!$B$1*A321</f>
        <v>57.7833333333333</v>
      </c>
      <c r="C321" s="0" t="n">
        <f aca="false">_xlfn.FLOOR.MATH(B321)</f>
        <v>57</v>
      </c>
      <c r="D321" s="4" t="n">
        <f aca="false">INDEX(table_mortality_rate!$A$1:$C$2000,MATCH(C321,table_mortality_rate!$A$1:$A$2000,0),MATCH(calc_cohort!$E$2,table_mortality_rate!A$1:C$1,0))</f>
        <v>0.00565</v>
      </c>
      <c r="E321" s="0" t="n">
        <f aca="false">(1-D321)^constant!$B$1</f>
        <v>0.999527942985104</v>
      </c>
      <c r="F321" s="0" t="n">
        <f aca="false">IF(A321=0,1,F320*E321)</f>
        <v>0.950073313599553</v>
      </c>
      <c r="G321" s="5" t="b">
        <f aca="false">B321&gt;=calc_cohort!C$2</f>
        <v>0</v>
      </c>
      <c r="H321" s="0" t="n">
        <f aca="false">IF(G321,1,0)</f>
        <v>0</v>
      </c>
      <c r="I321" s="0" t="n">
        <f aca="false">calc_cohort!$B$2*constant!$B$1*F321*H321</f>
        <v>0</v>
      </c>
      <c r="J321" s="0" t="n">
        <f aca="false">INDEX(table_spot_rate!B$1:B$2000,MATCH(A321,table_spot_rate!A$1:A$2000,0))</f>
        <v>0.0541588283221267</v>
      </c>
      <c r="K321" s="0" t="n">
        <f aca="false">(1+J321)^(-A321*constant!$B$1)</f>
        <v>0.246082557482339</v>
      </c>
      <c r="L321" s="0" t="n">
        <f aca="false">K321*I321</f>
        <v>0</v>
      </c>
    </row>
    <row r="322" customFormat="false" ht="12.8" hidden="false" customHeight="false" outlineLevel="0" collapsed="false">
      <c r="A322" s="0" t="n">
        <v>320</v>
      </c>
      <c r="B322" s="0" t="n">
        <f aca="false">calc_cohort!D$2+constant!$B$1*A322</f>
        <v>57.8666666666667</v>
      </c>
      <c r="C322" s="0" t="n">
        <f aca="false">_xlfn.FLOOR.MATH(B322)</f>
        <v>57</v>
      </c>
      <c r="D322" s="4" t="n">
        <f aca="false">INDEX(table_mortality_rate!$A$1:$C$2000,MATCH(C322,table_mortality_rate!$A$1:$A$2000,0),MATCH(calc_cohort!$E$2,table_mortality_rate!A$1:C$1,0))</f>
        <v>0.00565</v>
      </c>
      <c r="E322" s="0" t="n">
        <f aca="false">(1-D322)^constant!$B$1</f>
        <v>0.999527942985104</v>
      </c>
      <c r="F322" s="0" t="n">
        <f aca="false">IF(A322=0,1,F321*E322)</f>
        <v>0.949624824827203</v>
      </c>
      <c r="G322" s="5" t="b">
        <f aca="false">B322&gt;=calc_cohort!C$2</f>
        <v>0</v>
      </c>
      <c r="H322" s="0" t="n">
        <f aca="false">IF(G322,1,0)</f>
        <v>0</v>
      </c>
      <c r="I322" s="0" t="n">
        <f aca="false">calc_cohort!$B$2*constant!$B$1*F322*H322</f>
        <v>0</v>
      </c>
      <c r="J322" s="0" t="n">
        <f aca="false">INDEX(table_spot_rate!B$1:B$2000,MATCH(A322,table_spot_rate!A$1:A$2000,0))</f>
        <v>0.0526015429388508</v>
      </c>
      <c r="K322" s="0" t="n">
        <f aca="false">(1+J322)^(-A322*constant!$B$1)</f>
        <v>0.254855066876148</v>
      </c>
      <c r="L322" s="0" t="n">
        <f aca="false">K322*I322</f>
        <v>0</v>
      </c>
    </row>
    <row r="323" customFormat="false" ht="12.8" hidden="false" customHeight="false" outlineLevel="0" collapsed="false">
      <c r="A323" s="0" t="n">
        <v>321</v>
      </c>
      <c r="B323" s="0" t="n">
        <f aca="false">calc_cohort!D$2+constant!$B$1*A323</f>
        <v>57.95</v>
      </c>
      <c r="C323" s="0" t="n">
        <f aca="false">_xlfn.FLOOR.MATH(B323)</f>
        <v>57</v>
      </c>
      <c r="D323" s="4" t="n">
        <f aca="false">INDEX(table_mortality_rate!$A$1:$C$2000,MATCH(C323,table_mortality_rate!$A$1:$A$2000,0),MATCH(calc_cohort!$E$2,table_mortality_rate!A$1:C$1,0))</f>
        <v>0.00565</v>
      </c>
      <c r="E323" s="0" t="n">
        <f aca="false">(1-D323)^constant!$B$1</f>
        <v>0.999527942985104</v>
      </c>
      <c r="F323" s="0" t="n">
        <f aca="false">IF(A323=0,1,F322*E323)</f>
        <v>0.949176547767124</v>
      </c>
      <c r="G323" s="5" t="b">
        <f aca="false">B323&gt;=calc_cohort!C$2</f>
        <v>0</v>
      </c>
      <c r="H323" s="0" t="n">
        <f aca="false">IF(G323,1,0)</f>
        <v>0</v>
      </c>
      <c r="I323" s="0" t="n">
        <f aca="false">calc_cohort!$B$2*constant!$B$1*F323*H323</f>
        <v>0</v>
      </c>
      <c r="J323" s="0" t="n">
        <f aca="false">INDEX(table_spot_rate!B$1:B$2000,MATCH(A323,table_spot_rate!A$1:A$2000,0))</f>
        <v>0.0548674186099662</v>
      </c>
      <c r="K323" s="0" t="n">
        <f aca="false">(1+J323)^(-A323*constant!$B$1)</f>
        <v>0.239583412946448</v>
      </c>
      <c r="L323" s="0" t="n">
        <f aca="false">K323*I323</f>
        <v>0</v>
      </c>
    </row>
    <row r="324" customFormat="false" ht="12.8" hidden="false" customHeight="false" outlineLevel="0" collapsed="false">
      <c r="A324" s="0" t="n">
        <v>322</v>
      </c>
      <c r="B324" s="0" t="n">
        <f aca="false">calc_cohort!D$2+constant!$B$1*A324</f>
        <v>58.0333333333333</v>
      </c>
      <c r="C324" s="0" t="n">
        <f aca="false">_xlfn.FLOOR.MATH(B324)</f>
        <v>58</v>
      </c>
      <c r="D324" s="4" t="n">
        <f aca="false">INDEX(table_mortality_rate!$A$1:$C$2000,MATCH(C324,table_mortality_rate!$A$1:$A$2000,0),MATCH(calc_cohort!$E$2,table_mortality_rate!A$1:C$1,0))</f>
        <v>0.006352</v>
      </c>
      <c r="E324" s="0" t="n">
        <f aca="false">(1-D324)^constant!$B$1</f>
        <v>0.99946911931779</v>
      </c>
      <c r="F324" s="0" t="n">
        <f aca="false">IF(A324=0,1,F323*E324)</f>
        <v>0.948672648273907</v>
      </c>
      <c r="G324" s="5" t="b">
        <f aca="false">B324&gt;=calc_cohort!C$2</f>
        <v>0</v>
      </c>
      <c r="H324" s="0" t="n">
        <f aca="false">IF(G324,1,0)</f>
        <v>0</v>
      </c>
      <c r="I324" s="0" t="n">
        <f aca="false">calc_cohort!$B$2*constant!$B$1*F324*H324</f>
        <v>0</v>
      </c>
      <c r="J324" s="0" t="n">
        <f aca="false">INDEX(table_spot_rate!B$1:B$2000,MATCH(A324,table_spot_rate!A$1:A$2000,0))</f>
        <v>0.0557884447968771</v>
      </c>
      <c r="K324" s="0" t="n">
        <f aca="false">(1+J324)^(-A324*constant!$B$1)</f>
        <v>0.232998466401247</v>
      </c>
      <c r="L324" s="0" t="n">
        <f aca="false">K324*I324</f>
        <v>0</v>
      </c>
    </row>
    <row r="325" customFormat="false" ht="12.8" hidden="false" customHeight="false" outlineLevel="0" collapsed="false">
      <c r="A325" s="0" t="n">
        <v>323</v>
      </c>
      <c r="B325" s="0" t="n">
        <f aca="false">calc_cohort!D$2+constant!$B$1*A325</f>
        <v>58.1166666666667</v>
      </c>
      <c r="C325" s="0" t="n">
        <f aca="false">_xlfn.FLOOR.MATH(B325)</f>
        <v>58</v>
      </c>
      <c r="D325" s="4" t="n">
        <f aca="false">INDEX(table_mortality_rate!$A$1:$C$2000,MATCH(C325,table_mortality_rate!$A$1:$A$2000,0),MATCH(calc_cohort!$E$2,table_mortality_rate!A$1:C$1,0))</f>
        <v>0.006352</v>
      </c>
      <c r="E325" s="0" t="n">
        <f aca="false">(1-D325)^constant!$B$1</f>
        <v>0.99946911931779</v>
      </c>
      <c r="F325" s="0" t="n">
        <f aca="false">IF(A325=0,1,F324*E325)</f>
        <v>0.948169016291198</v>
      </c>
      <c r="G325" s="5" t="b">
        <f aca="false">B325&gt;=calc_cohort!C$2</f>
        <v>0</v>
      </c>
      <c r="H325" s="0" t="n">
        <f aca="false">IF(G325,1,0)</f>
        <v>0</v>
      </c>
      <c r="I325" s="0" t="n">
        <f aca="false">calc_cohort!$B$2*constant!$B$1*F325*H325</f>
        <v>0</v>
      </c>
      <c r="J325" s="0" t="n">
        <f aca="false">INDEX(table_spot_rate!B$1:B$2000,MATCH(A325,table_spot_rate!A$1:A$2000,0))</f>
        <v>0.0578763205653602</v>
      </c>
      <c r="K325" s="0" t="n">
        <f aca="false">(1+J325)^(-A325*constant!$B$1)</f>
        <v>0.219934848677169</v>
      </c>
      <c r="L325" s="0" t="n">
        <f aca="false">K325*I325</f>
        <v>0</v>
      </c>
    </row>
    <row r="326" customFormat="false" ht="12.8" hidden="false" customHeight="false" outlineLevel="0" collapsed="false">
      <c r="A326" s="0" t="n">
        <v>324</v>
      </c>
      <c r="B326" s="0" t="n">
        <f aca="false">calc_cohort!D$2+constant!$B$1*A326</f>
        <v>58.2</v>
      </c>
      <c r="C326" s="0" t="n">
        <f aca="false">_xlfn.FLOOR.MATH(B326)</f>
        <v>58</v>
      </c>
      <c r="D326" s="4" t="n">
        <f aca="false">INDEX(table_mortality_rate!$A$1:$C$2000,MATCH(C326,table_mortality_rate!$A$1:$A$2000,0),MATCH(calc_cohort!$E$2,table_mortality_rate!A$1:C$1,0))</f>
        <v>0.006352</v>
      </c>
      <c r="E326" s="0" t="n">
        <f aca="false">(1-D326)^constant!$B$1</f>
        <v>0.99946911931779</v>
      </c>
      <c r="F326" s="0" t="n">
        <f aca="false">IF(A326=0,1,F325*E326)</f>
        <v>0.947665651676979</v>
      </c>
      <c r="G326" s="5" t="b">
        <f aca="false">B326&gt;=calc_cohort!C$2</f>
        <v>0</v>
      </c>
      <c r="H326" s="0" t="n">
        <f aca="false">IF(G326,1,0)</f>
        <v>0</v>
      </c>
      <c r="I326" s="0" t="n">
        <f aca="false">calc_cohort!$B$2*constant!$B$1*F326*H326</f>
        <v>0</v>
      </c>
      <c r="J326" s="0" t="n">
        <f aca="false">INDEX(table_spot_rate!B$1:B$2000,MATCH(A326,table_spot_rate!A$1:A$2000,0))</f>
        <v>0.0572192051256892</v>
      </c>
      <c r="K326" s="0" t="n">
        <f aca="false">(1+J326)^(-A326*constant!$B$1)</f>
        <v>0.222609563239679</v>
      </c>
      <c r="L326" s="0" t="n">
        <f aca="false">K326*I326</f>
        <v>0</v>
      </c>
    </row>
    <row r="327" customFormat="false" ht="12.8" hidden="false" customHeight="false" outlineLevel="0" collapsed="false">
      <c r="A327" s="0" t="n">
        <v>325</v>
      </c>
      <c r="B327" s="0" t="n">
        <f aca="false">calc_cohort!D$2+constant!$B$1*A327</f>
        <v>58.2833333333333</v>
      </c>
      <c r="C327" s="0" t="n">
        <f aca="false">_xlfn.FLOOR.MATH(B327)</f>
        <v>58</v>
      </c>
      <c r="D327" s="4" t="n">
        <f aca="false">INDEX(table_mortality_rate!$A$1:$C$2000,MATCH(C327,table_mortality_rate!$A$1:$A$2000,0),MATCH(calc_cohort!$E$2,table_mortality_rate!A$1:C$1,0))</f>
        <v>0.006352</v>
      </c>
      <c r="E327" s="0" t="n">
        <f aca="false">(1-D327)^constant!$B$1</f>
        <v>0.99946911931779</v>
      </c>
      <c r="F327" s="0" t="n">
        <f aca="false">IF(A327=0,1,F326*E327)</f>
        <v>0.94716255428931</v>
      </c>
      <c r="G327" s="5" t="b">
        <f aca="false">B327&gt;=calc_cohort!C$2</f>
        <v>0</v>
      </c>
      <c r="H327" s="0" t="n">
        <f aca="false">IF(G327,1,0)</f>
        <v>0</v>
      </c>
      <c r="I327" s="0" t="n">
        <f aca="false">calc_cohort!$B$2*constant!$B$1*F327*H327</f>
        <v>0</v>
      </c>
      <c r="J327" s="0" t="n">
        <f aca="false">INDEX(table_spot_rate!B$1:B$2000,MATCH(A327,table_spot_rate!A$1:A$2000,0))</f>
        <v>0.054485481344894</v>
      </c>
      <c r="K327" s="0" t="n">
        <f aca="false">(1+J327)^(-A327*constant!$B$1)</f>
        <v>0.237675068042591</v>
      </c>
      <c r="L327" s="0" t="n">
        <f aca="false">K327*I327</f>
        <v>0</v>
      </c>
    </row>
    <row r="328" customFormat="false" ht="12.8" hidden="false" customHeight="false" outlineLevel="0" collapsed="false">
      <c r="A328" s="0" t="n">
        <v>326</v>
      </c>
      <c r="B328" s="0" t="n">
        <f aca="false">calc_cohort!D$2+constant!$B$1*A328</f>
        <v>58.3666666666667</v>
      </c>
      <c r="C328" s="0" t="n">
        <f aca="false">_xlfn.FLOOR.MATH(B328)</f>
        <v>58</v>
      </c>
      <c r="D328" s="4" t="n">
        <f aca="false">INDEX(table_mortality_rate!$A$1:$C$2000,MATCH(C328,table_mortality_rate!$A$1:$A$2000,0),MATCH(calc_cohort!$E$2,table_mortality_rate!A$1:C$1,0))</f>
        <v>0.006352</v>
      </c>
      <c r="E328" s="0" t="n">
        <f aca="false">(1-D328)^constant!$B$1</f>
        <v>0.99946911931779</v>
      </c>
      <c r="F328" s="0" t="n">
        <f aca="false">IF(A328=0,1,F327*E328)</f>
        <v>0.946659723986326</v>
      </c>
      <c r="G328" s="5" t="b">
        <f aca="false">B328&gt;=calc_cohort!C$2</f>
        <v>0</v>
      </c>
      <c r="H328" s="0" t="n">
        <f aca="false">IF(G328,1,0)</f>
        <v>0</v>
      </c>
      <c r="I328" s="0" t="n">
        <f aca="false">calc_cohort!$B$2*constant!$B$1*F328*H328</f>
        <v>0</v>
      </c>
      <c r="J328" s="0" t="n">
        <f aca="false">INDEX(table_spot_rate!B$1:B$2000,MATCH(A328,table_spot_rate!A$1:A$2000,0))</f>
        <v>0.0569561200706982</v>
      </c>
      <c r="K328" s="0" t="n">
        <f aca="false">(1+J328)^(-A328*constant!$B$1)</f>
        <v>0.222050955790613</v>
      </c>
      <c r="L328" s="0" t="n">
        <f aca="false">K328*I328</f>
        <v>0</v>
      </c>
    </row>
    <row r="329" customFormat="false" ht="12.8" hidden="false" customHeight="false" outlineLevel="0" collapsed="false">
      <c r="A329" s="0" t="n">
        <v>327</v>
      </c>
      <c r="B329" s="0" t="n">
        <f aca="false">calc_cohort!D$2+constant!$B$1*A329</f>
        <v>58.45</v>
      </c>
      <c r="C329" s="0" t="n">
        <f aca="false">_xlfn.FLOOR.MATH(B329)</f>
        <v>58</v>
      </c>
      <c r="D329" s="4" t="n">
        <f aca="false">INDEX(table_mortality_rate!$A$1:$C$2000,MATCH(C329,table_mortality_rate!$A$1:$A$2000,0),MATCH(calc_cohort!$E$2,table_mortality_rate!A$1:C$1,0))</f>
        <v>0.006352</v>
      </c>
      <c r="E329" s="0" t="n">
        <f aca="false">(1-D329)^constant!$B$1</f>
        <v>0.99946911931779</v>
      </c>
      <c r="F329" s="0" t="n">
        <f aca="false">IF(A329=0,1,F328*E329)</f>
        <v>0.946157160626235</v>
      </c>
      <c r="G329" s="5" t="b">
        <f aca="false">B329&gt;=calc_cohort!C$2</f>
        <v>0</v>
      </c>
      <c r="H329" s="0" t="n">
        <f aca="false">IF(G329,1,0)</f>
        <v>0</v>
      </c>
      <c r="I329" s="0" t="n">
        <f aca="false">calc_cohort!$B$2*constant!$B$1*F329*H329</f>
        <v>0</v>
      </c>
      <c r="J329" s="0" t="n">
        <f aca="false">INDEX(table_spot_rate!B$1:B$2000,MATCH(A329,table_spot_rate!A$1:A$2000,0))</f>
        <v>0.053424957240664</v>
      </c>
      <c r="K329" s="0" t="n">
        <f aca="false">(1+J329)^(-A329*constant!$B$1)</f>
        <v>0.242131789473881</v>
      </c>
      <c r="L329" s="0" t="n">
        <f aca="false">K329*I329</f>
        <v>0</v>
      </c>
    </row>
    <row r="330" customFormat="false" ht="12.8" hidden="false" customHeight="false" outlineLevel="0" collapsed="false">
      <c r="A330" s="0" t="n">
        <v>328</v>
      </c>
      <c r="B330" s="0" t="n">
        <f aca="false">calc_cohort!D$2+constant!$B$1*A330</f>
        <v>58.5333333333333</v>
      </c>
      <c r="C330" s="0" t="n">
        <f aca="false">_xlfn.FLOOR.MATH(B330)</f>
        <v>58</v>
      </c>
      <c r="D330" s="4" t="n">
        <f aca="false">INDEX(table_mortality_rate!$A$1:$C$2000,MATCH(C330,table_mortality_rate!$A$1:$A$2000,0),MATCH(calc_cohort!$E$2,table_mortality_rate!A$1:C$1,0))</f>
        <v>0.006352</v>
      </c>
      <c r="E330" s="0" t="n">
        <f aca="false">(1-D330)^constant!$B$1</f>
        <v>0.99946911931779</v>
      </c>
      <c r="F330" s="0" t="n">
        <f aca="false">IF(A330=0,1,F329*E330)</f>
        <v>0.945654864067324</v>
      </c>
      <c r="G330" s="5" t="b">
        <f aca="false">B330&gt;=calc_cohort!C$2</f>
        <v>0</v>
      </c>
      <c r="H330" s="0" t="n">
        <f aca="false">IF(G330,1,0)</f>
        <v>0</v>
      </c>
      <c r="I330" s="0" t="n">
        <f aca="false">calc_cohort!$B$2*constant!$B$1*F330*H330</f>
        <v>0</v>
      </c>
      <c r="J330" s="0" t="n">
        <f aca="false">INDEX(table_spot_rate!B$1:B$2000,MATCH(A330,table_spot_rate!A$1:A$2000,0))</f>
        <v>0.0597615011714621</v>
      </c>
      <c r="K330" s="0" t="n">
        <f aca="false">(1+J330)^(-A330*constant!$B$1)</f>
        <v>0.204633884260066</v>
      </c>
      <c r="L330" s="0" t="n">
        <f aca="false">K330*I330</f>
        <v>0</v>
      </c>
    </row>
    <row r="331" customFormat="false" ht="12.8" hidden="false" customHeight="false" outlineLevel="0" collapsed="false">
      <c r="A331" s="0" t="n">
        <v>329</v>
      </c>
      <c r="B331" s="0" t="n">
        <f aca="false">calc_cohort!D$2+constant!$B$1*A331</f>
        <v>58.6166666666667</v>
      </c>
      <c r="C331" s="0" t="n">
        <f aca="false">_xlfn.FLOOR.MATH(B331)</f>
        <v>58</v>
      </c>
      <c r="D331" s="4" t="n">
        <f aca="false">INDEX(table_mortality_rate!$A$1:$C$2000,MATCH(C331,table_mortality_rate!$A$1:$A$2000,0),MATCH(calc_cohort!$E$2,table_mortality_rate!A$1:C$1,0))</f>
        <v>0.006352</v>
      </c>
      <c r="E331" s="0" t="n">
        <f aca="false">(1-D331)^constant!$B$1</f>
        <v>0.99946911931779</v>
      </c>
      <c r="F331" s="0" t="n">
        <f aca="false">IF(A331=0,1,F330*E331)</f>
        <v>0.945152834167953</v>
      </c>
      <c r="G331" s="5" t="b">
        <f aca="false">B331&gt;=calc_cohort!C$2</f>
        <v>0</v>
      </c>
      <c r="H331" s="0" t="n">
        <f aca="false">IF(G331,1,0)</f>
        <v>0</v>
      </c>
      <c r="I331" s="0" t="n">
        <f aca="false">calc_cohort!$B$2*constant!$B$1*F331*H331</f>
        <v>0</v>
      </c>
      <c r="J331" s="0" t="n">
        <f aca="false">INDEX(table_spot_rate!B$1:B$2000,MATCH(A331,table_spot_rate!A$1:A$2000,0))</f>
        <v>0.0556247039754007</v>
      </c>
      <c r="K331" s="0" t="n">
        <f aca="false">(1+J331)^(-A331*constant!$B$1)</f>
        <v>0.226697451433362</v>
      </c>
      <c r="L331" s="0" t="n">
        <f aca="false">K331*I331</f>
        <v>0</v>
      </c>
    </row>
    <row r="332" customFormat="false" ht="12.8" hidden="false" customHeight="false" outlineLevel="0" collapsed="false">
      <c r="A332" s="0" t="n">
        <v>330</v>
      </c>
      <c r="B332" s="0" t="n">
        <f aca="false">calc_cohort!D$2+constant!$B$1*A332</f>
        <v>58.7</v>
      </c>
      <c r="C332" s="0" t="n">
        <f aca="false">_xlfn.FLOOR.MATH(B332)</f>
        <v>58</v>
      </c>
      <c r="D332" s="4" t="n">
        <f aca="false">INDEX(table_mortality_rate!$A$1:$C$2000,MATCH(C332,table_mortality_rate!$A$1:$A$2000,0),MATCH(calc_cohort!$E$2,table_mortality_rate!A$1:C$1,0))</f>
        <v>0.006352</v>
      </c>
      <c r="E332" s="0" t="n">
        <f aca="false">(1-D332)^constant!$B$1</f>
        <v>0.99946911931779</v>
      </c>
      <c r="F332" s="0" t="n">
        <f aca="false">IF(A332=0,1,F331*E332)</f>
        <v>0.944651070786558</v>
      </c>
      <c r="G332" s="5" t="b">
        <f aca="false">B332&gt;=calc_cohort!C$2</f>
        <v>0</v>
      </c>
      <c r="H332" s="0" t="n">
        <f aca="false">IF(G332,1,0)</f>
        <v>0</v>
      </c>
      <c r="I332" s="0" t="n">
        <f aca="false">calc_cohort!$B$2*constant!$B$1*F332*H332</f>
        <v>0</v>
      </c>
      <c r="J332" s="0" t="n">
        <f aca="false">INDEX(table_spot_rate!B$1:B$2000,MATCH(A332,table_spot_rate!A$1:A$2000,0))</f>
        <v>0.0528318482206485</v>
      </c>
      <c r="K332" s="0" t="n">
        <f aca="false">(1+J332)^(-A332*constant!$B$1)</f>
        <v>0.242732046640408</v>
      </c>
      <c r="L332" s="0" t="n">
        <f aca="false">K332*I332</f>
        <v>0</v>
      </c>
    </row>
    <row r="333" customFormat="false" ht="12.8" hidden="false" customHeight="false" outlineLevel="0" collapsed="false">
      <c r="A333" s="0" t="n">
        <v>331</v>
      </c>
      <c r="B333" s="0" t="n">
        <f aca="false">calc_cohort!D$2+constant!$B$1*A333</f>
        <v>58.7833333333333</v>
      </c>
      <c r="C333" s="0" t="n">
        <f aca="false">_xlfn.FLOOR.MATH(B333)</f>
        <v>58</v>
      </c>
      <c r="D333" s="4" t="n">
        <f aca="false">INDEX(table_mortality_rate!$A$1:$C$2000,MATCH(C333,table_mortality_rate!$A$1:$A$2000,0),MATCH(calc_cohort!$E$2,table_mortality_rate!A$1:C$1,0))</f>
        <v>0.006352</v>
      </c>
      <c r="E333" s="0" t="n">
        <f aca="false">(1-D333)^constant!$B$1</f>
        <v>0.99946911931779</v>
      </c>
      <c r="F333" s="0" t="n">
        <f aca="false">IF(A333=0,1,F332*E333)</f>
        <v>0.944149573781648</v>
      </c>
      <c r="G333" s="5" t="b">
        <f aca="false">B333&gt;=calc_cohort!C$2</f>
        <v>0</v>
      </c>
      <c r="H333" s="0" t="n">
        <f aca="false">IF(G333,1,0)</f>
        <v>0</v>
      </c>
      <c r="I333" s="0" t="n">
        <f aca="false">calc_cohort!$B$2*constant!$B$1*F333*H333</f>
        <v>0</v>
      </c>
      <c r="J333" s="0" t="n">
        <f aca="false">INDEX(table_spot_rate!B$1:B$2000,MATCH(A333,table_spot_rate!A$1:A$2000,0))</f>
        <v>0.0558861224448356</v>
      </c>
      <c r="K333" s="0" t="n">
        <f aca="false">(1+J333)^(-A333*constant!$B$1)</f>
        <v>0.223132152901559</v>
      </c>
      <c r="L333" s="0" t="n">
        <f aca="false">K333*I333</f>
        <v>0</v>
      </c>
    </row>
    <row r="334" customFormat="false" ht="12.8" hidden="false" customHeight="false" outlineLevel="0" collapsed="false">
      <c r="A334" s="0" t="n">
        <v>332</v>
      </c>
      <c r="B334" s="0" t="n">
        <f aca="false">calc_cohort!D$2+constant!$B$1*A334</f>
        <v>58.8666666666667</v>
      </c>
      <c r="C334" s="0" t="n">
        <f aca="false">_xlfn.FLOOR.MATH(B334)</f>
        <v>58</v>
      </c>
      <c r="D334" s="4" t="n">
        <f aca="false">INDEX(table_mortality_rate!$A$1:$C$2000,MATCH(C334,table_mortality_rate!$A$1:$A$2000,0),MATCH(calc_cohort!$E$2,table_mortality_rate!A$1:C$1,0))</f>
        <v>0.006352</v>
      </c>
      <c r="E334" s="0" t="n">
        <f aca="false">(1-D334)^constant!$B$1</f>
        <v>0.99946911931779</v>
      </c>
      <c r="F334" s="0" t="n">
        <f aca="false">IF(A334=0,1,F333*E334)</f>
        <v>0.943648343011811</v>
      </c>
      <c r="G334" s="5" t="b">
        <f aca="false">B334&gt;=calc_cohort!C$2</f>
        <v>0</v>
      </c>
      <c r="H334" s="0" t="n">
        <f aca="false">IF(G334,1,0)</f>
        <v>0</v>
      </c>
      <c r="I334" s="0" t="n">
        <f aca="false">calc_cohort!$B$2*constant!$B$1*F334*H334</f>
        <v>0</v>
      </c>
      <c r="J334" s="0" t="n">
        <f aca="false">INDEX(table_spot_rate!B$1:B$2000,MATCH(A334,table_spot_rate!A$1:A$2000,0))</f>
        <v>0.0511553963917179</v>
      </c>
      <c r="K334" s="0" t="n">
        <f aca="false">(1+J334)^(-A334*constant!$B$1)</f>
        <v>0.251506046223544</v>
      </c>
      <c r="L334" s="0" t="n">
        <f aca="false">K334*I334</f>
        <v>0</v>
      </c>
    </row>
    <row r="335" customFormat="false" ht="12.8" hidden="false" customHeight="false" outlineLevel="0" collapsed="false">
      <c r="A335" s="0" t="n">
        <v>333</v>
      </c>
      <c r="B335" s="0" t="n">
        <f aca="false">calc_cohort!D$2+constant!$B$1*A335</f>
        <v>58.95</v>
      </c>
      <c r="C335" s="0" t="n">
        <f aca="false">_xlfn.FLOOR.MATH(B335)</f>
        <v>58</v>
      </c>
      <c r="D335" s="4" t="n">
        <f aca="false">INDEX(table_mortality_rate!$A$1:$C$2000,MATCH(C335,table_mortality_rate!$A$1:$A$2000,0),MATCH(calc_cohort!$E$2,table_mortality_rate!A$1:C$1,0))</f>
        <v>0.006352</v>
      </c>
      <c r="E335" s="0" t="n">
        <f aca="false">(1-D335)^constant!$B$1</f>
        <v>0.99946911931779</v>
      </c>
      <c r="F335" s="0" t="n">
        <f aca="false">IF(A335=0,1,F334*E335)</f>
        <v>0.943147378335707</v>
      </c>
      <c r="G335" s="5" t="b">
        <f aca="false">B335&gt;=calc_cohort!C$2</f>
        <v>0</v>
      </c>
      <c r="H335" s="0" t="n">
        <f aca="false">IF(G335,1,0)</f>
        <v>0</v>
      </c>
      <c r="I335" s="0" t="n">
        <f aca="false">calc_cohort!$B$2*constant!$B$1*F335*H335</f>
        <v>0</v>
      </c>
      <c r="J335" s="0" t="n">
        <f aca="false">INDEX(table_spot_rate!B$1:B$2000,MATCH(A335,table_spot_rate!A$1:A$2000,0))</f>
        <v>0.0531882385949723</v>
      </c>
      <c r="K335" s="0" t="n">
        <f aca="false">(1+J335)^(-A335*constant!$B$1)</f>
        <v>0.237387849341987</v>
      </c>
      <c r="L335" s="0" t="n">
        <f aca="false">K335*I335</f>
        <v>0</v>
      </c>
    </row>
    <row r="336" customFormat="false" ht="12.8" hidden="false" customHeight="false" outlineLevel="0" collapsed="false">
      <c r="A336" s="0" t="n">
        <v>334</v>
      </c>
      <c r="B336" s="0" t="n">
        <f aca="false">calc_cohort!D$2+constant!$B$1*A336</f>
        <v>59.0333333333333</v>
      </c>
      <c r="C336" s="0" t="n">
        <f aca="false">_xlfn.FLOOR.MATH(B336)</f>
        <v>59</v>
      </c>
      <c r="D336" s="4" t="n">
        <f aca="false">INDEX(table_mortality_rate!$A$1:$C$2000,MATCH(C336,table_mortality_rate!$A$1:$A$2000,0),MATCH(calc_cohort!$E$2,table_mortality_rate!A$1:C$1,0))</f>
        <v>0.00714</v>
      </c>
      <c r="E336" s="0" t="n">
        <f aca="false">(1-D336)^constant!$B$1</f>
        <v>0.999403043933805</v>
      </c>
      <c r="F336" s="0" t="n">
        <f aca="false">IF(A336=0,1,F335*E336)</f>
        <v>0.942584360786893</v>
      </c>
      <c r="G336" s="5" t="b">
        <f aca="false">B336&gt;=calc_cohort!C$2</f>
        <v>0</v>
      </c>
      <c r="H336" s="0" t="n">
        <f aca="false">IF(G336,1,0)</f>
        <v>0</v>
      </c>
      <c r="I336" s="0" t="n">
        <f aca="false">calc_cohort!$B$2*constant!$B$1*F336*H336</f>
        <v>0</v>
      </c>
      <c r="J336" s="0" t="n">
        <f aca="false">INDEX(table_spot_rate!B$1:B$2000,MATCH(A336,table_spot_rate!A$1:A$2000,0))</f>
        <v>0.0537816344619375</v>
      </c>
      <c r="K336" s="0" t="n">
        <f aca="false">(1+J336)^(-A336*constant!$B$1)</f>
        <v>0.232688147377038</v>
      </c>
      <c r="L336" s="0" t="n">
        <f aca="false">K336*I336</f>
        <v>0</v>
      </c>
    </row>
    <row r="337" customFormat="false" ht="12.8" hidden="false" customHeight="false" outlineLevel="0" collapsed="false">
      <c r="A337" s="0" t="n">
        <v>335</v>
      </c>
      <c r="B337" s="0" t="n">
        <f aca="false">calc_cohort!D$2+constant!$B$1*A337</f>
        <v>59.1166666666667</v>
      </c>
      <c r="C337" s="0" t="n">
        <f aca="false">_xlfn.FLOOR.MATH(B337)</f>
        <v>59</v>
      </c>
      <c r="D337" s="4" t="n">
        <f aca="false">INDEX(table_mortality_rate!$A$1:$C$2000,MATCH(C337,table_mortality_rate!$A$1:$A$2000,0),MATCH(calc_cohort!$E$2,table_mortality_rate!A$1:C$1,0))</f>
        <v>0.00714</v>
      </c>
      <c r="E337" s="0" t="n">
        <f aca="false">(1-D337)^constant!$B$1</f>
        <v>0.999403043933805</v>
      </c>
      <c r="F337" s="0" t="n">
        <f aca="false">IF(A337=0,1,F336*E337)</f>
        <v>0.942021679334821</v>
      </c>
      <c r="G337" s="5" t="b">
        <f aca="false">B337&gt;=calc_cohort!C$2</f>
        <v>0</v>
      </c>
      <c r="H337" s="0" t="n">
        <f aca="false">IF(G337,1,0)</f>
        <v>0</v>
      </c>
      <c r="I337" s="0" t="n">
        <f aca="false">calc_cohort!$B$2*constant!$B$1*F337*H337</f>
        <v>0</v>
      </c>
      <c r="J337" s="0" t="n">
        <f aca="false">INDEX(table_spot_rate!B$1:B$2000,MATCH(A337,table_spot_rate!A$1:A$2000,0))</f>
        <v>0.0590785826571281</v>
      </c>
      <c r="K337" s="0" t="n">
        <f aca="false">(1+J337)^(-A337*constant!$B$1)</f>
        <v>0.201413303793774</v>
      </c>
      <c r="L337" s="0" t="n">
        <f aca="false">K337*I337</f>
        <v>0</v>
      </c>
    </row>
    <row r="338" customFormat="false" ht="12.8" hidden="false" customHeight="false" outlineLevel="0" collapsed="false">
      <c r="A338" s="0" t="n">
        <v>336</v>
      </c>
      <c r="B338" s="0" t="n">
        <f aca="false">calc_cohort!D$2+constant!$B$1*A338</f>
        <v>59.2</v>
      </c>
      <c r="C338" s="0" t="n">
        <f aca="false">_xlfn.FLOOR.MATH(B338)</f>
        <v>59</v>
      </c>
      <c r="D338" s="4" t="n">
        <f aca="false">INDEX(table_mortality_rate!$A$1:$C$2000,MATCH(C338,table_mortality_rate!$A$1:$A$2000,0),MATCH(calc_cohort!$E$2,table_mortality_rate!A$1:C$1,0))</f>
        <v>0.00714</v>
      </c>
      <c r="E338" s="0" t="n">
        <f aca="false">(1-D338)^constant!$B$1</f>
        <v>0.999403043933805</v>
      </c>
      <c r="F338" s="0" t="n">
        <f aca="false">IF(A338=0,1,F337*E338)</f>
        <v>0.941459333778855</v>
      </c>
      <c r="G338" s="5" t="b">
        <f aca="false">B338&gt;=calc_cohort!C$2</f>
        <v>0</v>
      </c>
      <c r="H338" s="0" t="n">
        <f aca="false">IF(G338,1,0)</f>
        <v>0</v>
      </c>
      <c r="I338" s="0" t="n">
        <f aca="false">calc_cohort!$B$2*constant!$B$1*F338*H338</f>
        <v>0</v>
      </c>
      <c r="J338" s="0" t="n">
        <f aca="false">INDEX(table_spot_rate!B$1:B$2000,MATCH(A338,table_spot_rate!A$1:A$2000,0))</f>
        <v>0.0547761529857527</v>
      </c>
      <c r="K338" s="0" t="n">
        <f aca="false">(1+J338)^(-A338*constant!$B$1)</f>
        <v>0.22465264262972</v>
      </c>
      <c r="L338" s="0" t="n">
        <f aca="false">K338*I338</f>
        <v>0</v>
      </c>
    </row>
    <row r="339" customFormat="false" ht="12.8" hidden="false" customHeight="false" outlineLevel="0" collapsed="false">
      <c r="A339" s="0" t="n">
        <v>337</v>
      </c>
      <c r="B339" s="0" t="n">
        <f aca="false">calc_cohort!D$2+constant!$B$1*A339</f>
        <v>59.2833333333333</v>
      </c>
      <c r="C339" s="0" t="n">
        <f aca="false">_xlfn.FLOOR.MATH(B339)</f>
        <v>59</v>
      </c>
      <c r="D339" s="4" t="n">
        <f aca="false">INDEX(table_mortality_rate!$A$1:$C$2000,MATCH(C339,table_mortality_rate!$A$1:$A$2000,0),MATCH(calc_cohort!$E$2,table_mortality_rate!A$1:C$1,0))</f>
        <v>0.00714</v>
      </c>
      <c r="E339" s="0" t="n">
        <f aca="false">(1-D339)^constant!$B$1</f>
        <v>0.999403043933805</v>
      </c>
      <c r="F339" s="0" t="n">
        <f aca="false">IF(A339=0,1,F338*E339)</f>
        <v>0.940897323918479</v>
      </c>
      <c r="G339" s="5" t="b">
        <f aca="false">B339&gt;=calc_cohort!C$2</f>
        <v>0</v>
      </c>
      <c r="H339" s="0" t="n">
        <f aca="false">IF(G339,1,0)</f>
        <v>0</v>
      </c>
      <c r="I339" s="0" t="n">
        <f aca="false">calc_cohort!$B$2*constant!$B$1*F339*H339</f>
        <v>0</v>
      </c>
      <c r="J339" s="0" t="n">
        <f aca="false">INDEX(table_spot_rate!B$1:B$2000,MATCH(A339,table_spot_rate!A$1:A$2000,0))</f>
        <v>0.0560137198370894</v>
      </c>
      <c r="K339" s="0" t="n">
        <f aca="false">(1+J339)^(-A339*constant!$B$1)</f>
        <v>0.216411252675056</v>
      </c>
      <c r="L339" s="0" t="n">
        <f aca="false">K339*I339</f>
        <v>0</v>
      </c>
    </row>
    <row r="340" customFormat="false" ht="12.8" hidden="false" customHeight="false" outlineLevel="0" collapsed="false">
      <c r="A340" s="0" t="n">
        <v>338</v>
      </c>
      <c r="B340" s="0" t="n">
        <f aca="false">calc_cohort!D$2+constant!$B$1*A340</f>
        <v>59.3666666666667</v>
      </c>
      <c r="C340" s="0" t="n">
        <f aca="false">_xlfn.FLOOR.MATH(B340)</f>
        <v>59</v>
      </c>
      <c r="D340" s="4" t="n">
        <f aca="false">INDEX(table_mortality_rate!$A$1:$C$2000,MATCH(C340,table_mortality_rate!$A$1:$A$2000,0),MATCH(calc_cohort!$E$2,table_mortality_rate!A$1:C$1,0))</f>
        <v>0.00714</v>
      </c>
      <c r="E340" s="0" t="n">
        <f aca="false">(1-D340)^constant!$B$1</f>
        <v>0.999403043933805</v>
      </c>
      <c r="F340" s="0" t="n">
        <f aca="false">IF(A340=0,1,F339*E340)</f>
        <v>0.940335649553299</v>
      </c>
      <c r="G340" s="5" t="b">
        <f aca="false">B340&gt;=calc_cohort!C$2</f>
        <v>0</v>
      </c>
      <c r="H340" s="0" t="n">
        <f aca="false">IF(G340,1,0)</f>
        <v>0</v>
      </c>
      <c r="I340" s="0" t="n">
        <f aca="false">calc_cohort!$B$2*constant!$B$1*F340*H340</f>
        <v>0</v>
      </c>
      <c r="J340" s="0" t="n">
        <f aca="false">INDEX(table_spot_rate!B$1:B$2000,MATCH(A340,table_spot_rate!A$1:A$2000,0))</f>
        <v>0.0560978712126034</v>
      </c>
      <c r="K340" s="0" t="n">
        <f aca="false">(1+J340)^(-A340*constant!$B$1)</f>
        <v>0.214947611480398</v>
      </c>
      <c r="L340" s="0" t="n">
        <f aca="false">K340*I340</f>
        <v>0</v>
      </c>
    </row>
    <row r="341" customFormat="false" ht="12.8" hidden="false" customHeight="false" outlineLevel="0" collapsed="false">
      <c r="A341" s="0" t="n">
        <v>339</v>
      </c>
      <c r="B341" s="0" t="n">
        <f aca="false">calc_cohort!D$2+constant!$B$1*A341</f>
        <v>59.45</v>
      </c>
      <c r="C341" s="0" t="n">
        <f aca="false">_xlfn.FLOOR.MATH(B341)</f>
        <v>59</v>
      </c>
      <c r="D341" s="4" t="n">
        <f aca="false">INDEX(table_mortality_rate!$A$1:$C$2000,MATCH(C341,table_mortality_rate!$A$1:$A$2000,0),MATCH(calc_cohort!$E$2,table_mortality_rate!A$1:C$1,0))</f>
        <v>0.00714</v>
      </c>
      <c r="E341" s="0" t="n">
        <f aca="false">(1-D341)^constant!$B$1</f>
        <v>0.999403043933805</v>
      </c>
      <c r="F341" s="0" t="n">
        <f aca="false">IF(A341=0,1,F340*E341)</f>
        <v>0.939774310483039</v>
      </c>
      <c r="G341" s="5" t="b">
        <f aca="false">B341&gt;=calc_cohort!C$2</f>
        <v>0</v>
      </c>
      <c r="H341" s="0" t="n">
        <f aca="false">IF(G341,1,0)</f>
        <v>0</v>
      </c>
      <c r="I341" s="0" t="n">
        <f aca="false">calc_cohort!$B$2*constant!$B$1*F341*H341</f>
        <v>0</v>
      </c>
      <c r="J341" s="0" t="n">
        <f aca="false">INDEX(table_spot_rate!B$1:B$2000,MATCH(A341,table_spot_rate!A$1:A$2000,0))</f>
        <v>0.0500908062833679</v>
      </c>
      <c r="K341" s="0" t="n">
        <f aca="false">(1+J341)^(-A341*constant!$B$1)</f>
        <v>0.251386130454342</v>
      </c>
      <c r="L341" s="0" t="n">
        <f aca="false">K341*I341</f>
        <v>0</v>
      </c>
    </row>
    <row r="342" customFormat="false" ht="12.8" hidden="false" customHeight="false" outlineLevel="0" collapsed="false">
      <c r="A342" s="0" t="n">
        <v>340</v>
      </c>
      <c r="B342" s="0" t="n">
        <f aca="false">calc_cohort!D$2+constant!$B$1*A342</f>
        <v>59.5333333333333</v>
      </c>
      <c r="C342" s="0" t="n">
        <f aca="false">_xlfn.FLOOR.MATH(B342)</f>
        <v>59</v>
      </c>
      <c r="D342" s="4" t="n">
        <f aca="false">INDEX(table_mortality_rate!$A$1:$C$2000,MATCH(C342,table_mortality_rate!$A$1:$A$2000,0),MATCH(calc_cohort!$E$2,table_mortality_rate!A$1:C$1,0))</f>
        <v>0.00714</v>
      </c>
      <c r="E342" s="0" t="n">
        <f aca="false">(1-D342)^constant!$B$1</f>
        <v>0.999403043933805</v>
      </c>
      <c r="F342" s="0" t="n">
        <f aca="false">IF(A342=0,1,F341*E342)</f>
        <v>0.939213306507541</v>
      </c>
      <c r="G342" s="5" t="b">
        <f aca="false">B342&gt;=calc_cohort!C$2</f>
        <v>0</v>
      </c>
      <c r="H342" s="0" t="n">
        <f aca="false">IF(G342,1,0)</f>
        <v>0</v>
      </c>
      <c r="I342" s="0" t="n">
        <f aca="false">calc_cohort!$B$2*constant!$B$1*F342*H342</f>
        <v>0</v>
      </c>
      <c r="J342" s="0" t="n">
        <f aca="false">INDEX(table_spot_rate!B$1:B$2000,MATCH(A342,table_spot_rate!A$1:A$2000,0))</f>
        <v>0.0569039907235912</v>
      </c>
      <c r="K342" s="0" t="n">
        <f aca="false">(1+J342)^(-A342*constant!$B$1)</f>
        <v>0.208445775266672</v>
      </c>
      <c r="L342" s="0" t="n">
        <f aca="false">K342*I342</f>
        <v>0</v>
      </c>
    </row>
    <row r="343" customFormat="false" ht="12.8" hidden="false" customHeight="false" outlineLevel="0" collapsed="false">
      <c r="A343" s="0" t="n">
        <v>341</v>
      </c>
      <c r="B343" s="0" t="n">
        <f aca="false">calc_cohort!D$2+constant!$B$1*A343</f>
        <v>59.6166666666667</v>
      </c>
      <c r="C343" s="0" t="n">
        <f aca="false">_xlfn.FLOOR.MATH(B343)</f>
        <v>59</v>
      </c>
      <c r="D343" s="4" t="n">
        <f aca="false">INDEX(table_mortality_rate!$A$1:$C$2000,MATCH(C343,table_mortality_rate!$A$1:$A$2000,0),MATCH(calc_cohort!$E$2,table_mortality_rate!A$1:C$1,0))</f>
        <v>0.00714</v>
      </c>
      <c r="E343" s="0" t="n">
        <f aca="false">(1-D343)^constant!$B$1</f>
        <v>0.999403043933805</v>
      </c>
      <c r="F343" s="0" t="n">
        <f aca="false">IF(A343=0,1,F342*E343)</f>
        <v>0.93865263742677</v>
      </c>
      <c r="G343" s="5" t="b">
        <f aca="false">B343&gt;=calc_cohort!C$2</f>
        <v>0</v>
      </c>
      <c r="H343" s="0" t="n">
        <f aca="false">IF(G343,1,0)</f>
        <v>0</v>
      </c>
      <c r="I343" s="0" t="n">
        <f aca="false">calc_cohort!$B$2*constant!$B$1*F343*H343</f>
        <v>0</v>
      </c>
      <c r="J343" s="0" t="n">
        <f aca="false">INDEX(table_spot_rate!B$1:B$2000,MATCH(A343,table_spot_rate!A$1:A$2000,0))</f>
        <v>0.050825526575562</v>
      </c>
      <c r="K343" s="0" t="n">
        <f aca="false">(1+J343)^(-A343*constant!$B$1)</f>
        <v>0.24443968547583</v>
      </c>
      <c r="L343" s="0" t="n">
        <f aca="false">K343*I343</f>
        <v>0</v>
      </c>
    </row>
    <row r="344" customFormat="false" ht="12.8" hidden="false" customHeight="false" outlineLevel="0" collapsed="false">
      <c r="A344" s="0" t="n">
        <v>342</v>
      </c>
      <c r="B344" s="0" t="n">
        <f aca="false">calc_cohort!D$2+constant!$B$1*A344</f>
        <v>59.7</v>
      </c>
      <c r="C344" s="0" t="n">
        <f aca="false">_xlfn.FLOOR.MATH(B344)</f>
        <v>59</v>
      </c>
      <c r="D344" s="4" t="n">
        <f aca="false">INDEX(table_mortality_rate!$A$1:$C$2000,MATCH(C344,table_mortality_rate!$A$1:$A$2000,0),MATCH(calc_cohort!$E$2,table_mortality_rate!A$1:C$1,0))</f>
        <v>0.00714</v>
      </c>
      <c r="E344" s="0" t="n">
        <f aca="false">(1-D344)^constant!$B$1</f>
        <v>0.999403043933805</v>
      </c>
      <c r="F344" s="0" t="n">
        <f aca="false">IF(A344=0,1,F343*E344)</f>
        <v>0.938092303040808</v>
      </c>
      <c r="G344" s="5" t="b">
        <f aca="false">B344&gt;=calc_cohort!C$2</f>
        <v>0</v>
      </c>
      <c r="H344" s="0" t="n">
        <f aca="false">IF(G344,1,0)</f>
        <v>0</v>
      </c>
      <c r="I344" s="0" t="n">
        <f aca="false">calc_cohort!$B$2*constant!$B$1*F344*H344</f>
        <v>0</v>
      </c>
      <c r="J344" s="0" t="n">
        <f aca="false">INDEX(table_spot_rate!B$1:B$2000,MATCH(A344,table_spot_rate!A$1:A$2000,0))</f>
        <v>0.054410418927957</v>
      </c>
      <c r="K344" s="0" t="n">
        <f aca="false">(1+J344)^(-A344*constant!$B$1)</f>
        <v>0.220914322462668</v>
      </c>
      <c r="L344" s="0" t="n">
        <f aca="false">K344*I344</f>
        <v>0</v>
      </c>
    </row>
    <row r="345" customFormat="false" ht="12.8" hidden="false" customHeight="false" outlineLevel="0" collapsed="false">
      <c r="A345" s="0" t="n">
        <v>343</v>
      </c>
      <c r="B345" s="0" t="n">
        <f aca="false">calc_cohort!D$2+constant!$B$1*A345</f>
        <v>59.7833333333333</v>
      </c>
      <c r="C345" s="0" t="n">
        <f aca="false">_xlfn.FLOOR.MATH(B345)</f>
        <v>59</v>
      </c>
      <c r="D345" s="4" t="n">
        <f aca="false">INDEX(table_mortality_rate!$A$1:$C$2000,MATCH(C345,table_mortality_rate!$A$1:$A$2000,0),MATCH(calc_cohort!$E$2,table_mortality_rate!A$1:C$1,0))</f>
        <v>0.00714</v>
      </c>
      <c r="E345" s="0" t="n">
        <f aca="false">(1-D345)^constant!$B$1</f>
        <v>0.999403043933805</v>
      </c>
      <c r="F345" s="0" t="n">
        <f aca="false">IF(A345=0,1,F344*E345)</f>
        <v>0.937532303149857</v>
      </c>
      <c r="G345" s="5" t="b">
        <f aca="false">B345&gt;=calc_cohort!C$2</f>
        <v>0</v>
      </c>
      <c r="H345" s="0" t="n">
        <f aca="false">IF(G345,1,0)</f>
        <v>0</v>
      </c>
      <c r="I345" s="0" t="n">
        <f aca="false">calc_cohort!$B$2*constant!$B$1*F345*H345</f>
        <v>0</v>
      </c>
      <c r="J345" s="0" t="n">
        <f aca="false">INDEX(table_spot_rate!B$1:B$2000,MATCH(A345,table_spot_rate!A$1:A$2000,0))</f>
        <v>0.0546532822561944</v>
      </c>
      <c r="K345" s="0" t="n">
        <f aca="false">(1+J345)^(-A345*constant!$B$1)</f>
        <v>0.218498015139388</v>
      </c>
      <c r="L345" s="0" t="n">
        <f aca="false">K345*I345</f>
        <v>0</v>
      </c>
    </row>
    <row r="346" customFormat="false" ht="12.8" hidden="false" customHeight="false" outlineLevel="0" collapsed="false">
      <c r="A346" s="0" t="n">
        <v>344</v>
      </c>
      <c r="B346" s="0" t="n">
        <f aca="false">calc_cohort!D$2+constant!$B$1*A346</f>
        <v>59.8666666666667</v>
      </c>
      <c r="C346" s="0" t="n">
        <f aca="false">_xlfn.FLOOR.MATH(B346)</f>
        <v>59</v>
      </c>
      <c r="D346" s="4" t="n">
        <f aca="false">INDEX(table_mortality_rate!$A$1:$C$2000,MATCH(C346,table_mortality_rate!$A$1:$A$2000,0),MATCH(calc_cohort!$E$2,table_mortality_rate!A$1:C$1,0))</f>
        <v>0.00714</v>
      </c>
      <c r="E346" s="0" t="n">
        <f aca="false">(1-D346)^constant!$B$1</f>
        <v>0.999403043933805</v>
      </c>
      <c r="F346" s="0" t="n">
        <f aca="false">IF(A346=0,1,F345*E346)</f>
        <v>0.936972637554238</v>
      </c>
      <c r="G346" s="5" t="b">
        <f aca="false">B346&gt;=calc_cohort!C$2</f>
        <v>0</v>
      </c>
      <c r="H346" s="0" t="n">
        <f aca="false">IF(G346,1,0)</f>
        <v>0</v>
      </c>
      <c r="I346" s="0" t="n">
        <f aca="false">calc_cohort!$B$2*constant!$B$1*F346*H346</f>
        <v>0</v>
      </c>
      <c r="J346" s="0" t="n">
        <f aca="false">INDEX(table_spot_rate!B$1:B$2000,MATCH(A346,table_spot_rate!A$1:A$2000,0))</f>
        <v>0.0504773745997084</v>
      </c>
      <c r="K346" s="0" t="n">
        <f aca="false">(1+J346)^(-A346*constant!$B$1)</f>
        <v>0.243733102309083</v>
      </c>
      <c r="L346" s="0" t="n">
        <f aca="false">K346*I346</f>
        <v>0</v>
      </c>
    </row>
    <row r="347" customFormat="false" ht="12.8" hidden="false" customHeight="false" outlineLevel="0" collapsed="false">
      <c r="A347" s="0" t="n">
        <v>345</v>
      </c>
      <c r="B347" s="0" t="n">
        <f aca="false">calc_cohort!D$2+constant!$B$1*A347</f>
        <v>59.95</v>
      </c>
      <c r="C347" s="0" t="n">
        <f aca="false">_xlfn.FLOOR.MATH(B347)</f>
        <v>59</v>
      </c>
      <c r="D347" s="4" t="n">
        <f aca="false">INDEX(table_mortality_rate!$A$1:$C$2000,MATCH(C347,table_mortality_rate!$A$1:$A$2000,0),MATCH(calc_cohort!$E$2,table_mortality_rate!A$1:C$1,0))</f>
        <v>0.00714</v>
      </c>
      <c r="E347" s="0" t="n">
        <f aca="false">(1-D347)^constant!$B$1</f>
        <v>0.999403043933805</v>
      </c>
      <c r="F347" s="0" t="n">
        <f aca="false">IF(A347=0,1,F346*E347)</f>
        <v>0.936413306054391</v>
      </c>
      <c r="G347" s="5" t="b">
        <f aca="false">B347&gt;=calc_cohort!C$2</f>
        <v>0</v>
      </c>
      <c r="H347" s="0" t="n">
        <f aca="false">IF(G347,1,0)</f>
        <v>0</v>
      </c>
      <c r="I347" s="0" t="n">
        <f aca="false">calc_cohort!$B$2*constant!$B$1*F347*H347</f>
        <v>0</v>
      </c>
      <c r="J347" s="0" t="n">
        <f aca="false">INDEX(table_spot_rate!B$1:B$2000,MATCH(A347,table_spot_rate!A$1:A$2000,0))</f>
        <v>0.0539690247090744</v>
      </c>
      <c r="K347" s="0" t="n">
        <f aca="false">(1+J347)^(-A347*constant!$B$1)</f>
        <v>0.220647689586137</v>
      </c>
      <c r="L347" s="0" t="n">
        <f aca="false">K347*I347</f>
        <v>0</v>
      </c>
    </row>
    <row r="348" customFormat="false" ht="12.8" hidden="false" customHeight="false" outlineLevel="0" collapsed="false">
      <c r="A348" s="0" t="n">
        <v>346</v>
      </c>
      <c r="B348" s="0" t="n">
        <f aca="false">calc_cohort!D$2+constant!$B$1*A348</f>
        <v>60.0333333333333</v>
      </c>
      <c r="C348" s="0" t="n">
        <f aca="false">_xlfn.FLOOR.MATH(B348)</f>
        <v>60</v>
      </c>
      <c r="D348" s="4" t="n">
        <f aca="false">INDEX(table_mortality_rate!$A$1:$C$2000,MATCH(C348,table_mortality_rate!$A$1:$A$2000,0),MATCH(calc_cohort!$E$2,table_mortality_rate!A$1:C$1,0))</f>
        <v>0.008022</v>
      </c>
      <c r="E348" s="0" t="n">
        <f aca="false">(1-D348)^constant!$B$1</f>
        <v>0.999329029421288</v>
      </c>
      <c r="F348" s="0" t="n">
        <f aca="false">IF(A348=0,1,F347*E348)</f>
        <v>0.935785000276514</v>
      </c>
      <c r="G348" s="5" t="b">
        <f aca="false">B348&gt;=calc_cohort!C$2</f>
        <v>0</v>
      </c>
      <c r="H348" s="0" t="n">
        <f aca="false">IF(G348,1,0)</f>
        <v>0</v>
      </c>
      <c r="I348" s="0" t="n">
        <f aca="false">calc_cohort!$B$2*constant!$B$1*F348*H348</f>
        <v>0</v>
      </c>
      <c r="J348" s="0" t="n">
        <f aca="false">INDEX(table_spot_rate!B$1:B$2000,MATCH(A348,table_spot_rate!A$1:A$2000,0))</f>
        <v>0.0581704761767911</v>
      </c>
      <c r="K348" s="0" t="n">
        <f aca="false">(1+J348)^(-A348*constant!$B$1)</f>
        <v>0.195875014260612</v>
      </c>
      <c r="L348" s="0" t="n">
        <f aca="false">K348*I348</f>
        <v>0</v>
      </c>
    </row>
    <row r="349" customFormat="false" ht="12.8" hidden="false" customHeight="false" outlineLevel="0" collapsed="false">
      <c r="A349" s="0" t="n">
        <v>347</v>
      </c>
      <c r="B349" s="0" t="n">
        <f aca="false">calc_cohort!D$2+constant!$B$1*A349</f>
        <v>60.1166666666667</v>
      </c>
      <c r="C349" s="0" t="n">
        <f aca="false">_xlfn.FLOOR.MATH(B349)</f>
        <v>60</v>
      </c>
      <c r="D349" s="4" t="n">
        <f aca="false">INDEX(table_mortality_rate!$A$1:$C$2000,MATCH(C349,table_mortality_rate!$A$1:$A$2000,0),MATCH(calc_cohort!$E$2,table_mortality_rate!A$1:C$1,0))</f>
        <v>0.008022</v>
      </c>
      <c r="E349" s="0" t="n">
        <f aca="false">(1-D349)^constant!$B$1</f>
        <v>0.999329029421288</v>
      </c>
      <c r="F349" s="0" t="n">
        <f aca="false">IF(A349=0,1,F348*E349)</f>
        <v>0.935157116073329</v>
      </c>
      <c r="G349" s="5" t="b">
        <f aca="false">B349&gt;=calc_cohort!C$2</f>
        <v>0</v>
      </c>
      <c r="H349" s="0" t="n">
        <f aca="false">IF(G349,1,0)</f>
        <v>0</v>
      </c>
      <c r="I349" s="0" t="n">
        <f aca="false">calc_cohort!$B$2*constant!$B$1*F349*H349</f>
        <v>0</v>
      </c>
      <c r="J349" s="0" t="n">
        <f aca="false">INDEX(table_spot_rate!B$1:B$2000,MATCH(A349,table_spot_rate!A$1:A$2000,0))</f>
        <v>0.0570443667649429</v>
      </c>
      <c r="K349" s="0" t="n">
        <f aca="false">(1+J349)^(-A349*constant!$B$1)</f>
        <v>0.201050196092489</v>
      </c>
      <c r="L349" s="0" t="n">
        <f aca="false">K349*I349</f>
        <v>0</v>
      </c>
    </row>
    <row r="350" customFormat="false" ht="12.8" hidden="false" customHeight="false" outlineLevel="0" collapsed="false">
      <c r="A350" s="0" t="n">
        <v>348</v>
      </c>
      <c r="B350" s="0" t="n">
        <f aca="false">calc_cohort!D$2+constant!$B$1*A350</f>
        <v>60.2</v>
      </c>
      <c r="C350" s="0" t="n">
        <f aca="false">_xlfn.FLOOR.MATH(B350)</f>
        <v>60</v>
      </c>
      <c r="D350" s="4" t="n">
        <f aca="false">INDEX(table_mortality_rate!$A$1:$C$2000,MATCH(C350,table_mortality_rate!$A$1:$A$2000,0),MATCH(calc_cohort!$E$2,table_mortality_rate!A$1:C$1,0))</f>
        <v>0.008022</v>
      </c>
      <c r="E350" s="0" t="n">
        <f aca="false">(1-D350)^constant!$B$1</f>
        <v>0.999329029421288</v>
      </c>
      <c r="F350" s="0" t="n">
        <f aca="false">IF(A350=0,1,F349*E350)</f>
        <v>0.934529653161971</v>
      </c>
      <c r="G350" s="5" t="b">
        <f aca="false">B350&gt;=calc_cohort!C$2</f>
        <v>0</v>
      </c>
      <c r="H350" s="0" t="n">
        <f aca="false">IF(G350,1,0)</f>
        <v>0</v>
      </c>
      <c r="I350" s="0" t="n">
        <f aca="false">calc_cohort!$B$2*constant!$B$1*F350*H350</f>
        <v>0</v>
      </c>
      <c r="J350" s="0" t="n">
        <f aca="false">INDEX(table_spot_rate!B$1:B$2000,MATCH(A350,table_spot_rate!A$1:A$2000,0))</f>
        <v>0.057375846294301</v>
      </c>
      <c r="K350" s="0" t="n">
        <f aca="false">(1+J350)^(-A350*constant!$B$1)</f>
        <v>0.198311463069195</v>
      </c>
      <c r="L350" s="0" t="n">
        <f aca="false">K350*I350</f>
        <v>0</v>
      </c>
    </row>
    <row r="351" customFormat="false" ht="12.8" hidden="false" customHeight="false" outlineLevel="0" collapsed="false">
      <c r="A351" s="0" t="n">
        <v>349</v>
      </c>
      <c r="B351" s="0" t="n">
        <f aca="false">calc_cohort!D$2+constant!$B$1*A351</f>
        <v>60.2833333333333</v>
      </c>
      <c r="C351" s="0" t="n">
        <f aca="false">_xlfn.FLOOR.MATH(B351)</f>
        <v>60</v>
      </c>
      <c r="D351" s="4" t="n">
        <f aca="false">INDEX(table_mortality_rate!$A$1:$C$2000,MATCH(C351,table_mortality_rate!$A$1:$A$2000,0),MATCH(calc_cohort!$E$2,table_mortality_rate!A$1:C$1,0))</f>
        <v>0.008022</v>
      </c>
      <c r="E351" s="0" t="n">
        <f aca="false">(1-D351)^constant!$B$1</f>
        <v>0.999329029421288</v>
      </c>
      <c r="F351" s="0" t="n">
        <f aca="false">IF(A351=0,1,F350*E351)</f>
        <v>0.933902611259766</v>
      </c>
      <c r="G351" s="5" t="b">
        <f aca="false">B351&gt;=calc_cohort!C$2</f>
        <v>0</v>
      </c>
      <c r="H351" s="0" t="n">
        <f aca="false">IF(G351,1,0)</f>
        <v>0</v>
      </c>
      <c r="I351" s="0" t="n">
        <f aca="false">calc_cohort!$B$2*constant!$B$1*F351*H351</f>
        <v>0</v>
      </c>
      <c r="J351" s="0" t="n">
        <f aca="false">INDEX(table_spot_rate!B$1:B$2000,MATCH(A351,table_spot_rate!A$1:A$2000,0))</f>
        <v>0.0578879101419294</v>
      </c>
      <c r="K351" s="0" t="n">
        <f aca="false">(1+J351)^(-A351*constant!$B$1)</f>
        <v>0.194631620547624</v>
      </c>
      <c r="L351" s="0" t="n">
        <f aca="false">K351*I351</f>
        <v>0</v>
      </c>
    </row>
    <row r="352" customFormat="false" ht="12.8" hidden="false" customHeight="false" outlineLevel="0" collapsed="false">
      <c r="A352" s="0" t="n">
        <v>350</v>
      </c>
      <c r="B352" s="0" t="n">
        <f aca="false">calc_cohort!D$2+constant!$B$1*A352</f>
        <v>60.3666666666667</v>
      </c>
      <c r="C352" s="0" t="n">
        <f aca="false">_xlfn.FLOOR.MATH(B352)</f>
        <v>60</v>
      </c>
      <c r="D352" s="4" t="n">
        <f aca="false">INDEX(table_mortality_rate!$A$1:$C$2000,MATCH(C352,table_mortality_rate!$A$1:$A$2000,0),MATCH(calc_cohort!$E$2,table_mortality_rate!A$1:C$1,0))</f>
        <v>0.008022</v>
      </c>
      <c r="E352" s="0" t="n">
        <f aca="false">(1-D352)^constant!$B$1</f>
        <v>0.999329029421288</v>
      </c>
      <c r="F352" s="0" t="n">
        <f aca="false">IF(A352=0,1,F351*E352)</f>
        <v>0.933275990084228</v>
      </c>
      <c r="G352" s="5" t="b">
        <f aca="false">B352&gt;=calc_cohort!C$2</f>
        <v>0</v>
      </c>
      <c r="H352" s="0" t="n">
        <f aca="false">IF(G352,1,0)</f>
        <v>0</v>
      </c>
      <c r="I352" s="0" t="n">
        <f aca="false">calc_cohort!$B$2*constant!$B$1*F352*H352</f>
        <v>0</v>
      </c>
      <c r="J352" s="0" t="n">
        <f aca="false">INDEX(table_spot_rate!B$1:B$2000,MATCH(A352,table_spot_rate!A$1:A$2000,0))</f>
        <v>0.0594277943474815</v>
      </c>
      <c r="K352" s="0" t="n">
        <f aca="false">(1+J352)^(-A352*constant!$B$1)</f>
        <v>0.185674355462919</v>
      </c>
      <c r="L352" s="0" t="n">
        <f aca="false">K352*I352</f>
        <v>0</v>
      </c>
    </row>
    <row r="353" customFormat="false" ht="12.8" hidden="false" customHeight="false" outlineLevel="0" collapsed="false">
      <c r="A353" s="0" t="n">
        <v>351</v>
      </c>
      <c r="B353" s="0" t="n">
        <f aca="false">calc_cohort!D$2+constant!$B$1*A353</f>
        <v>60.45</v>
      </c>
      <c r="C353" s="0" t="n">
        <f aca="false">_xlfn.FLOOR.MATH(B353)</f>
        <v>60</v>
      </c>
      <c r="D353" s="4" t="n">
        <f aca="false">INDEX(table_mortality_rate!$A$1:$C$2000,MATCH(C353,table_mortality_rate!$A$1:$A$2000,0),MATCH(calc_cohort!$E$2,table_mortality_rate!A$1:C$1,0))</f>
        <v>0.008022</v>
      </c>
      <c r="E353" s="0" t="n">
        <f aca="false">(1-D353)^constant!$B$1</f>
        <v>0.999329029421288</v>
      </c>
      <c r="F353" s="0" t="n">
        <f aca="false">IF(A353=0,1,F352*E353)</f>
        <v>0.932649789353064</v>
      </c>
      <c r="G353" s="5" t="b">
        <f aca="false">B353&gt;=calc_cohort!C$2</f>
        <v>0</v>
      </c>
      <c r="H353" s="0" t="n">
        <f aca="false">IF(G353,1,0)</f>
        <v>0</v>
      </c>
      <c r="I353" s="0" t="n">
        <f aca="false">calc_cohort!$B$2*constant!$B$1*F353*H353</f>
        <v>0</v>
      </c>
      <c r="J353" s="0" t="n">
        <f aca="false">INDEX(table_spot_rate!B$1:B$2000,MATCH(A353,table_spot_rate!A$1:A$2000,0))</f>
        <v>0.0541331729115573</v>
      </c>
      <c r="K353" s="0" t="n">
        <f aca="false">(1+J353)^(-A353*constant!$B$1)</f>
        <v>0.213947489476528</v>
      </c>
      <c r="L353" s="0" t="n">
        <f aca="false">K353*I353</f>
        <v>0</v>
      </c>
    </row>
    <row r="354" customFormat="false" ht="12.8" hidden="false" customHeight="false" outlineLevel="0" collapsed="false">
      <c r="A354" s="0" t="n">
        <v>352</v>
      </c>
      <c r="B354" s="0" t="n">
        <f aca="false">calc_cohort!D$2+constant!$B$1*A354</f>
        <v>60.5333333333333</v>
      </c>
      <c r="C354" s="0" t="n">
        <f aca="false">_xlfn.FLOOR.MATH(B354)</f>
        <v>60</v>
      </c>
      <c r="D354" s="4" t="n">
        <f aca="false">INDEX(table_mortality_rate!$A$1:$C$2000,MATCH(C354,table_mortality_rate!$A$1:$A$2000,0),MATCH(calc_cohort!$E$2,table_mortality_rate!A$1:C$1,0))</f>
        <v>0.008022</v>
      </c>
      <c r="E354" s="0" t="n">
        <f aca="false">(1-D354)^constant!$B$1</f>
        <v>0.999329029421288</v>
      </c>
      <c r="F354" s="0" t="n">
        <f aca="false">IF(A354=0,1,F353*E354)</f>
        <v>0.932024008784166</v>
      </c>
      <c r="G354" s="5" t="b">
        <f aca="false">B354&gt;=calc_cohort!C$2</f>
        <v>0</v>
      </c>
      <c r="H354" s="0" t="n">
        <f aca="false">IF(G354,1,0)</f>
        <v>0</v>
      </c>
      <c r="I354" s="0" t="n">
        <f aca="false">calc_cohort!$B$2*constant!$B$1*F354*H354</f>
        <v>0</v>
      </c>
      <c r="J354" s="0" t="n">
        <f aca="false">INDEX(table_spot_rate!B$1:B$2000,MATCH(A354,table_spot_rate!A$1:A$2000,0))</f>
        <v>0.0569773102426402</v>
      </c>
      <c r="K354" s="0" t="n">
        <f aca="false">(1+J354)^(-A354*constant!$B$1)</f>
        <v>0.196822090168707</v>
      </c>
      <c r="L354" s="0" t="n">
        <f aca="false">K354*I354</f>
        <v>0</v>
      </c>
    </row>
    <row r="355" customFormat="false" ht="12.8" hidden="false" customHeight="false" outlineLevel="0" collapsed="false">
      <c r="A355" s="0" t="n">
        <v>353</v>
      </c>
      <c r="B355" s="0" t="n">
        <f aca="false">calc_cohort!D$2+constant!$B$1*A355</f>
        <v>60.6166666666667</v>
      </c>
      <c r="C355" s="0" t="n">
        <f aca="false">_xlfn.FLOOR.MATH(B355)</f>
        <v>60</v>
      </c>
      <c r="D355" s="4" t="n">
        <f aca="false">INDEX(table_mortality_rate!$A$1:$C$2000,MATCH(C355,table_mortality_rate!$A$1:$A$2000,0),MATCH(calc_cohort!$E$2,table_mortality_rate!A$1:C$1,0))</f>
        <v>0.008022</v>
      </c>
      <c r="E355" s="0" t="n">
        <f aca="false">(1-D355)^constant!$B$1</f>
        <v>0.999329029421288</v>
      </c>
      <c r="F355" s="0" t="n">
        <f aca="false">IF(A355=0,1,F354*E355)</f>
        <v>0.931398648095619</v>
      </c>
      <c r="G355" s="5" t="b">
        <f aca="false">B355&gt;=calc_cohort!C$2</f>
        <v>0</v>
      </c>
      <c r="H355" s="0" t="n">
        <f aca="false">IF(G355,1,0)</f>
        <v>0</v>
      </c>
      <c r="I355" s="0" t="n">
        <f aca="false">calc_cohort!$B$2*constant!$B$1*F355*H355</f>
        <v>0</v>
      </c>
      <c r="J355" s="0" t="n">
        <f aca="false">INDEX(table_spot_rate!B$1:B$2000,MATCH(A355,table_spot_rate!A$1:A$2000,0))</f>
        <v>0.0575567010730581</v>
      </c>
      <c r="K355" s="0" t="n">
        <f aca="false">(1+J355)^(-A355*constant!$B$1)</f>
        <v>0.192782360059237</v>
      </c>
      <c r="L355" s="0" t="n">
        <f aca="false">K355*I355</f>
        <v>0</v>
      </c>
    </row>
    <row r="356" customFormat="false" ht="12.8" hidden="false" customHeight="false" outlineLevel="0" collapsed="false">
      <c r="A356" s="0" t="n">
        <v>354</v>
      </c>
      <c r="B356" s="0" t="n">
        <f aca="false">calc_cohort!D$2+constant!$B$1*A356</f>
        <v>60.7</v>
      </c>
      <c r="C356" s="0" t="n">
        <f aca="false">_xlfn.FLOOR.MATH(B356)</f>
        <v>60</v>
      </c>
      <c r="D356" s="4" t="n">
        <f aca="false">INDEX(table_mortality_rate!$A$1:$C$2000,MATCH(C356,table_mortality_rate!$A$1:$A$2000,0),MATCH(calc_cohort!$E$2,table_mortality_rate!A$1:C$1,0))</f>
        <v>0.008022</v>
      </c>
      <c r="E356" s="0" t="n">
        <f aca="false">(1-D356)^constant!$B$1</f>
        <v>0.999329029421288</v>
      </c>
      <c r="F356" s="0" t="n">
        <f aca="false">IF(A356=0,1,F355*E356)</f>
        <v>0.930773707005695</v>
      </c>
      <c r="G356" s="5" t="b">
        <f aca="false">B356&gt;=calc_cohort!C$2</f>
        <v>0</v>
      </c>
      <c r="H356" s="0" t="n">
        <f aca="false">IF(G356,1,0)</f>
        <v>0</v>
      </c>
      <c r="I356" s="0" t="n">
        <f aca="false">calc_cohort!$B$2*constant!$B$1*F356*H356</f>
        <v>0</v>
      </c>
      <c r="J356" s="0" t="n">
        <f aca="false">INDEX(table_spot_rate!B$1:B$2000,MATCH(A356,table_spot_rate!A$1:A$2000,0))</f>
        <v>0.0501029780124711</v>
      </c>
      <c r="K356" s="0" t="n">
        <f aca="false">(1+J356)^(-A356*constant!$B$1)</f>
        <v>0.2364064066539</v>
      </c>
      <c r="L356" s="0" t="n">
        <f aca="false">K356*I356</f>
        <v>0</v>
      </c>
    </row>
    <row r="357" customFormat="false" ht="12.8" hidden="false" customHeight="false" outlineLevel="0" collapsed="false">
      <c r="A357" s="0" t="n">
        <v>355</v>
      </c>
      <c r="B357" s="0" t="n">
        <f aca="false">calc_cohort!D$2+constant!$B$1*A357</f>
        <v>60.7833333333333</v>
      </c>
      <c r="C357" s="0" t="n">
        <f aca="false">_xlfn.FLOOR.MATH(B357)</f>
        <v>60</v>
      </c>
      <c r="D357" s="4" t="n">
        <f aca="false">INDEX(table_mortality_rate!$A$1:$C$2000,MATCH(C357,table_mortality_rate!$A$1:$A$2000,0),MATCH(calc_cohort!$E$2,table_mortality_rate!A$1:C$1,0))</f>
        <v>0.008022</v>
      </c>
      <c r="E357" s="0" t="n">
        <f aca="false">(1-D357)^constant!$B$1</f>
        <v>0.999329029421288</v>
      </c>
      <c r="F357" s="0" t="n">
        <f aca="false">IF(A357=0,1,F356*E357)</f>
        <v>0.930149185232856</v>
      </c>
      <c r="G357" s="5" t="b">
        <f aca="false">B357&gt;=calc_cohort!C$2</f>
        <v>0</v>
      </c>
      <c r="H357" s="0" t="n">
        <f aca="false">IF(G357,1,0)</f>
        <v>0</v>
      </c>
      <c r="I357" s="0" t="n">
        <f aca="false">calc_cohort!$B$2*constant!$B$1*F357*H357</f>
        <v>0</v>
      </c>
      <c r="J357" s="0" t="n">
        <f aca="false">INDEX(table_spot_rate!B$1:B$2000,MATCH(A357,table_spot_rate!A$1:A$2000,0))</f>
        <v>0.0570847824392415</v>
      </c>
      <c r="K357" s="0" t="n">
        <f aca="false">(1+J357)^(-A357*constant!$B$1)</f>
        <v>0.193531263856445</v>
      </c>
      <c r="L357" s="0" t="n">
        <f aca="false">K357*I357</f>
        <v>0</v>
      </c>
    </row>
    <row r="358" customFormat="false" ht="12.8" hidden="false" customHeight="false" outlineLevel="0" collapsed="false">
      <c r="A358" s="0" t="n">
        <v>356</v>
      </c>
      <c r="B358" s="0" t="n">
        <f aca="false">calc_cohort!D$2+constant!$B$1*A358</f>
        <v>60.8666666666667</v>
      </c>
      <c r="C358" s="0" t="n">
        <f aca="false">_xlfn.FLOOR.MATH(B358)</f>
        <v>60</v>
      </c>
      <c r="D358" s="4" t="n">
        <f aca="false">INDEX(table_mortality_rate!$A$1:$C$2000,MATCH(C358,table_mortality_rate!$A$1:$A$2000,0),MATCH(calc_cohort!$E$2,table_mortality_rate!A$1:C$1,0))</f>
        <v>0.008022</v>
      </c>
      <c r="E358" s="0" t="n">
        <f aca="false">(1-D358)^constant!$B$1</f>
        <v>0.999329029421288</v>
      </c>
      <c r="F358" s="0" t="n">
        <f aca="false">IF(A358=0,1,F357*E358)</f>
        <v>0.929525082495752</v>
      </c>
      <c r="G358" s="5" t="b">
        <f aca="false">B358&gt;=calc_cohort!C$2</f>
        <v>0</v>
      </c>
      <c r="H358" s="0" t="n">
        <f aca="false">IF(G358,1,0)</f>
        <v>0</v>
      </c>
      <c r="I358" s="0" t="n">
        <f aca="false">calc_cohort!$B$2*constant!$B$1*F358*H358</f>
        <v>0</v>
      </c>
      <c r="J358" s="0" t="n">
        <f aca="false">INDEX(table_spot_rate!B$1:B$2000,MATCH(A358,table_spot_rate!A$1:A$2000,0))</f>
        <v>0.0516271228389633</v>
      </c>
      <c r="K358" s="0" t="n">
        <f aca="false">(1+J358)^(-A358*constant!$B$1)</f>
        <v>0.224612489550358</v>
      </c>
      <c r="L358" s="0" t="n">
        <f aca="false">K358*I358</f>
        <v>0</v>
      </c>
    </row>
    <row r="359" customFormat="false" ht="12.8" hidden="false" customHeight="false" outlineLevel="0" collapsed="false">
      <c r="A359" s="0" t="n">
        <v>357</v>
      </c>
      <c r="B359" s="0" t="n">
        <f aca="false">calc_cohort!D$2+constant!$B$1*A359</f>
        <v>60.95</v>
      </c>
      <c r="C359" s="0" t="n">
        <f aca="false">_xlfn.FLOOR.MATH(B359)</f>
        <v>60</v>
      </c>
      <c r="D359" s="4" t="n">
        <f aca="false">INDEX(table_mortality_rate!$A$1:$C$2000,MATCH(C359,table_mortality_rate!$A$1:$A$2000,0),MATCH(calc_cohort!$E$2,table_mortality_rate!A$1:C$1,0))</f>
        <v>0.008022</v>
      </c>
      <c r="E359" s="0" t="n">
        <f aca="false">(1-D359)^constant!$B$1</f>
        <v>0.999329029421288</v>
      </c>
      <c r="F359" s="0" t="n">
        <f aca="false">IF(A359=0,1,F358*E359)</f>
        <v>0.928901398513223</v>
      </c>
      <c r="G359" s="5" t="b">
        <f aca="false">B359&gt;=calc_cohort!C$2</f>
        <v>0</v>
      </c>
      <c r="H359" s="0" t="n">
        <f aca="false">IF(G359,1,0)</f>
        <v>0</v>
      </c>
      <c r="I359" s="0" t="n">
        <f aca="false">calc_cohort!$B$2*constant!$B$1*F359*H359</f>
        <v>0</v>
      </c>
      <c r="J359" s="0" t="n">
        <f aca="false">INDEX(table_spot_rate!B$1:B$2000,MATCH(A359,table_spot_rate!A$1:A$2000,0))</f>
        <v>0.0572521801254213</v>
      </c>
      <c r="K359" s="0" t="n">
        <f aca="false">(1+J359)^(-A359*constant!$B$1)</f>
        <v>0.19084771581525</v>
      </c>
      <c r="L359" s="0" t="n">
        <f aca="false">K359*I359</f>
        <v>0</v>
      </c>
    </row>
    <row r="360" customFormat="false" ht="12.8" hidden="false" customHeight="false" outlineLevel="0" collapsed="false">
      <c r="A360" s="0" t="n">
        <v>358</v>
      </c>
      <c r="B360" s="0" t="n">
        <f aca="false">calc_cohort!D$2+constant!$B$1*A360</f>
        <v>61.0333333333333</v>
      </c>
      <c r="C360" s="0" t="n">
        <f aca="false">_xlfn.FLOOR.MATH(B360)</f>
        <v>61</v>
      </c>
      <c r="D360" s="4" t="n">
        <f aca="false">INDEX(table_mortality_rate!$A$1:$C$2000,MATCH(C360,table_mortality_rate!$A$1:$A$2000,0),MATCH(calc_cohort!$E$2,table_mortality_rate!A$1:C$1,0))</f>
        <v>0.009009</v>
      </c>
      <c r="E360" s="0" t="n">
        <f aca="false">(1-D360)^constant!$B$1</f>
        <v>0.999246132098882</v>
      </c>
      <c r="F360" s="0" t="n">
        <f aca="false">IF(A360=0,1,F359*E360)</f>
        <v>0.92820112956558</v>
      </c>
      <c r="G360" s="5" t="b">
        <f aca="false">B360&gt;=calc_cohort!C$2</f>
        <v>1</v>
      </c>
      <c r="H360" s="0" t="n">
        <f aca="false">IF(G360,1,0)</f>
        <v>1</v>
      </c>
      <c r="I360" s="0" t="n">
        <f aca="false">calc_cohort!$B$2*constant!$B$1*F360*H360</f>
        <v>0.954500161569938</v>
      </c>
      <c r="J360" s="0" t="n">
        <f aca="false">INDEX(table_spot_rate!B$1:B$2000,MATCH(A360,table_spot_rate!A$1:A$2000,0))</f>
        <v>0.0527354471460315</v>
      </c>
      <c r="K360" s="0" t="n">
        <f aca="false">(1+J360)^(-A360*constant!$B$1)</f>
        <v>0.215845241664679</v>
      </c>
      <c r="L360" s="0" t="n">
        <f aca="false">K360*I360</f>
        <v>0.206024318043038</v>
      </c>
    </row>
    <row r="361" customFormat="false" ht="12.8" hidden="false" customHeight="false" outlineLevel="0" collapsed="false">
      <c r="A361" s="0" t="n">
        <v>359</v>
      </c>
      <c r="B361" s="0" t="n">
        <f aca="false">calc_cohort!D$2+constant!$B$1*A361</f>
        <v>61.1166666666667</v>
      </c>
      <c r="C361" s="0" t="n">
        <f aca="false">_xlfn.FLOOR.MATH(B361)</f>
        <v>61</v>
      </c>
      <c r="D361" s="4" t="n">
        <f aca="false">INDEX(table_mortality_rate!$A$1:$C$2000,MATCH(C361,table_mortality_rate!$A$1:$A$2000,0),MATCH(calc_cohort!$E$2,table_mortality_rate!A$1:C$1,0))</f>
        <v>0.009009</v>
      </c>
      <c r="E361" s="0" t="n">
        <f aca="false">(1-D361)^constant!$B$1</f>
        <v>0.999246132098882</v>
      </c>
      <c r="F361" s="0" t="n">
        <f aca="false">IF(A361=0,1,F360*E361)</f>
        <v>0.927501388528218</v>
      </c>
      <c r="G361" s="5" t="b">
        <f aca="false">B361&gt;=calc_cohort!C$2</f>
        <v>1</v>
      </c>
      <c r="H361" s="0" t="n">
        <f aca="false">IF(G361,1,0)</f>
        <v>1</v>
      </c>
      <c r="I361" s="0" t="n">
        <f aca="false">calc_cohort!$B$2*constant!$B$1*F361*H361</f>
        <v>0.953780594536518</v>
      </c>
      <c r="J361" s="0" t="n">
        <f aca="false">INDEX(table_spot_rate!B$1:B$2000,MATCH(A361,table_spot_rate!A$1:A$2000,0))</f>
        <v>0.051632016250428</v>
      </c>
      <c r="K361" s="0" t="n">
        <f aca="false">(1+J361)^(-A361*constant!$B$1)</f>
        <v>0.221772657092571</v>
      </c>
      <c r="L361" s="0" t="n">
        <f aca="false">K361*I361</f>
        <v>0.211522456733696</v>
      </c>
    </row>
    <row r="362" customFormat="false" ht="12.8" hidden="false" customHeight="false" outlineLevel="0" collapsed="false">
      <c r="A362" s="0" t="n">
        <v>360</v>
      </c>
      <c r="B362" s="0" t="n">
        <f aca="false">calc_cohort!D$2+constant!$B$1*A362</f>
        <v>61.2</v>
      </c>
      <c r="C362" s="0" t="n">
        <f aca="false">_xlfn.FLOOR.MATH(B362)</f>
        <v>61</v>
      </c>
      <c r="D362" s="4" t="n">
        <f aca="false">INDEX(table_mortality_rate!$A$1:$C$2000,MATCH(C362,table_mortality_rate!$A$1:$A$2000,0),MATCH(calc_cohort!$E$2,table_mortality_rate!A$1:C$1,0))</f>
        <v>0.009009</v>
      </c>
      <c r="E362" s="0" t="n">
        <f aca="false">(1-D362)^constant!$B$1</f>
        <v>0.999246132098882</v>
      </c>
      <c r="F362" s="0" t="n">
        <f aca="false">IF(A362=0,1,F361*E362)</f>
        <v>0.926802175003164</v>
      </c>
      <c r="G362" s="5" t="b">
        <f aca="false">B362&gt;=calc_cohort!C$2</f>
        <v>1</v>
      </c>
      <c r="H362" s="0" t="n">
        <f aca="false">IF(G362,1,0)</f>
        <v>1</v>
      </c>
      <c r="I362" s="0" t="n">
        <f aca="false">calc_cohort!$B$2*constant!$B$1*F362*H362</f>
        <v>0.953061569961587</v>
      </c>
      <c r="J362" s="0" t="n">
        <f aca="false">INDEX(table_spot_rate!B$1:B$2000,MATCH(A362,table_spot_rate!A$1:A$2000,0))</f>
        <v>0.0573593674368331</v>
      </c>
      <c r="K362" s="0" t="n">
        <f aca="false">(1+J362)^(-A362*constant!$B$1)</f>
        <v>0.187638297913125</v>
      </c>
      <c r="L362" s="0" t="n">
        <f aca="false">K362*I362</f>
        <v>0.178830850794003</v>
      </c>
    </row>
    <row r="363" customFormat="false" ht="12.8" hidden="false" customHeight="false" outlineLevel="0" collapsed="false">
      <c r="A363" s="0" t="n">
        <v>361</v>
      </c>
      <c r="B363" s="0" t="n">
        <f aca="false">calc_cohort!D$2+constant!$B$1*A363</f>
        <v>61.2833333333333</v>
      </c>
      <c r="C363" s="0" t="n">
        <f aca="false">_xlfn.FLOOR.MATH(B363)</f>
        <v>61</v>
      </c>
      <c r="D363" s="4" t="n">
        <f aca="false">INDEX(table_mortality_rate!$A$1:$C$2000,MATCH(C363,table_mortality_rate!$A$1:$A$2000,0),MATCH(calc_cohort!$E$2,table_mortality_rate!A$1:C$1,0))</f>
        <v>0.009009</v>
      </c>
      <c r="E363" s="0" t="n">
        <f aca="false">(1-D363)^constant!$B$1</f>
        <v>0.999246132098882</v>
      </c>
      <c r="F363" s="0" t="n">
        <f aca="false">IF(A363=0,1,F362*E363)</f>
        <v>0.926103488592742</v>
      </c>
      <c r="G363" s="5" t="b">
        <f aca="false">B363&gt;=calc_cohort!C$2</f>
        <v>1</v>
      </c>
      <c r="H363" s="0" t="n">
        <f aca="false">IF(G363,1,0)</f>
        <v>1</v>
      </c>
      <c r="I363" s="0" t="n">
        <f aca="false">calc_cohort!$B$2*constant!$B$1*F363*H363</f>
        <v>0.952343087436203</v>
      </c>
      <c r="J363" s="0" t="n">
        <f aca="false">INDEX(table_spot_rate!B$1:B$2000,MATCH(A363,table_spot_rate!A$1:A$2000,0))</f>
        <v>0.0524431888510714</v>
      </c>
      <c r="K363" s="0" t="n">
        <f aca="false">(1+J363)^(-A363*constant!$B$1)</f>
        <v>0.214877160850431</v>
      </c>
      <c r="L363" s="0" t="n">
        <f aca="false">K363*I363</f>
        <v>0.204636778783825</v>
      </c>
    </row>
    <row r="364" customFormat="false" ht="12.8" hidden="false" customHeight="false" outlineLevel="0" collapsed="false">
      <c r="A364" s="0" t="n">
        <v>362</v>
      </c>
      <c r="B364" s="0" t="n">
        <f aca="false">calc_cohort!D$2+constant!$B$1*A364</f>
        <v>61.3666666666667</v>
      </c>
      <c r="C364" s="0" t="n">
        <f aca="false">_xlfn.FLOOR.MATH(B364)</f>
        <v>61</v>
      </c>
      <c r="D364" s="4" t="n">
        <f aca="false">INDEX(table_mortality_rate!$A$1:$C$2000,MATCH(C364,table_mortality_rate!$A$1:$A$2000,0),MATCH(calc_cohort!$E$2,table_mortality_rate!A$1:C$1,0))</f>
        <v>0.009009</v>
      </c>
      <c r="E364" s="0" t="n">
        <f aca="false">(1-D364)^constant!$B$1</f>
        <v>0.999246132098882</v>
      </c>
      <c r="F364" s="0" t="n">
        <f aca="false">IF(A364=0,1,F363*E364)</f>
        <v>0.925405328899578</v>
      </c>
      <c r="G364" s="5" t="b">
        <f aca="false">B364&gt;=calc_cohort!C$2</f>
        <v>1</v>
      </c>
      <c r="H364" s="0" t="n">
        <f aca="false">IF(G364,1,0)</f>
        <v>1</v>
      </c>
      <c r="I364" s="0" t="n">
        <f aca="false">calc_cohort!$B$2*constant!$B$1*F364*H364</f>
        <v>0.951625146551733</v>
      </c>
      <c r="J364" s="0" t="n">
        <f aca="false">INDEX(table_spot_rate!B$1:B$2000,MATCH(A364,table_spot_rate!A$1:A$2000,0))</f>
        <v>0.0549158958242797</v>
      </c>
      <c r="K364" s="0" t="n">
        <f aca="false">(1+J364)^(-A364*constant!$B$1)</f>
        <v>0.199340372934588</v>
      </c>
      <c r="L364" s="0" t="n">
        <f aca="false">K364*I364</f>
        <v>0.189697311607555</v>
      </c>
    </row>
    <row r="365" customFormat="false" ht="12.8" hidden="false" customHeight="false" outlineLevel="0" collapsed="false">
      <c r="A365" s="0" t="n">
        <v>363</v>
      </c>
      <c r="B365" s="0" t="n">
        <f aca="false">calc_cohort!D$2+constant!$B$1*A365</f>
        <v>61.45</v>
      </c>
      <c r="C365" s="0" t="n">
        <f aca="false">_xlfn.FLOOR.MATH(B365)</f>
        <v>61</v>
      </c>
      <c r="D365" s="4" t="n">
        <f aca="false">INDEX(table_mortality_rate!$A$1:$C$2000,MATCH(C365,table_mortality_rate!$A$1:$A$2000,0),MATCH(calc_cohort!$E$2,table_mortality_rate!A$1:C$1,0))</f>
        <v>0.009009</v>
      </c>
      <c r="E365" s="0" t="n">
        <f aca="false">(1-D365)^constant!$B$1</f>
        <v>0.999246132098882</v>
      </c>
      <c r="F365" s="0" t="n">
        <f aca="false">IF(A365=0,1,F364*E365)</f>
        <v>0.924707695526597</v>
      </c>
      <c r="G365" s="5" t="b">
        <f aca="false">B365&gt;=calc_cohort!C$2</f>
        <v>1</v>
      </c>
      <c r="H365" s="0" t="n">
        <f aca="false">IF(G365,1,0)</f>
        <v>1</v>
      </c>
      <c r="I365" s="0" t="n">
        <f aca="false">calc_cohort!$B$2*constant!$B$1*F365*H365</f>
        <v>0.95090774689985</v>
      </c>
      <c r="J365" s="0" t="n">
        <f aca="false">INDEX(table_spot_rate!B$1:B$2000,MATCH(A365,table_spot_rate!A$1:A$2000,0))</f>
        <v>0.0579556692820524</v>
      </c>
      <c r="K365" s="0" t="n">
        <f aca="false">(1+J365)^(-A365*constant!$B$1)</f>
        <v>0.181911027727044</v>
      </c>
      <c r="L365" s="0" t="n">
        <f aca="false">K365*I365</f>
        <v>0.17298060551216</v>
      </c>
    </row>
    <row r="366" customFormat="false" ht="12.8" hidden="false" customHeight="false" outlineLevel="0" collapsed="false">
      <c r="A366" s="0" t="n">
        <v>364</v>
      </c>
      <c r="B366" s="0" t="n">
        <f aca="false">calc_cohort!D$2+constant!$B$1*A366</f>
        <v>61.5333333333333</v>
      </c>
      <c r="C366" s="0" t="n">
        <f aca="false">_xlfn.FLOOR.MATH(B366)</f>
        <v>61</v>
      </c>
      <c r="D366" s="4" t="n">
        <f aca="false">INDEX(table_mortality_rate!$A$1:$C$2000,MATCH(C366,table_mortality_rate!$A$1:$A$2000,0),MATCH(calc_cohort!$E$2,table_mortality_rate!A$1:C$1,0))</f>
        <v>0.009009</v>
      </c>
      <c r="E366" s="0" t="n">
        <f aca="false">(1-D366)^constant!$B$1</f>
        <v>0.999246132098882</v>
      </c>
      <c r="F366" s="0" t="n">
        <f aca="false">IF(A366=0,1,F365*E366)</f>
        <v>0.924010588077022</v>
      </c>
      <c r="G366" s="5" t="b">
        <f aca="false">B366&gt;=calc_cohort!C$2</f>
        <v>1</v>
      </c>
      <c r="H366" s="0" t="n">
        <f aca="false">IF(G366,1,0)</f>
        <v>1</v>
      </c>
      <c r="I366" s="0" t="n">
        <f aca="false">calc_cohort!$B$2*constant!$B$1*F366*H366</f>
        <v>0.950190888072538</v>
      </c>
      <c r="J366" s="0" t="n">
        <f aca="false">INDEX(table_spot_rate!B$1:B$2000,MATCH(A366,table_spot_rate!A$1:A$2000,0))</f>
        <v>0.0559949768764722</v>
      </c>
      <c r="K366" s="0" t="n">
        <f aca="false">(1+J366)^(-A366*constant!$B$1)</f>
        <v>0.191538968796732</v>
      </c>
      <c r="L366" s="0" t="n">
        <f aca="false">K366*I366</f>
        <v>0.181998582861465</v>
      </c>
    </row>
    <row r="367" customFormat="false" ht="12.8" hidden="false" customHeight="false" outlineLevel="0" collapsed="false">
      <c r="A367" s="0" t="n">
        <v>365</v>
      </c>
      <c r="B367" s="0" t="n">
        <f aca="false">calc_cohort!D$2+constant!$B$1*A367</f>
        <v>61.6166666666667</v>
      </c>
      <c r="C367" s="0" t="n">
        <f aca="false">_xlfn.FLOOR.MATH(B367)</f>
        <v>61</v>
      </c>
      <c r="D367" s="4" t="n">
        <f aca="false">INDEX(table_mortality_rate!$A$1:$C$2000,MATCH(C367,table_mortality_rate!$A$1:$A$2000,0),MATCH(calc_cohort!$E$2,table_mortality_rate!A$1:C$1,0))</f>
        <v>0.009009</v>
      </c>
      <c r="E367" s="0" t="n">
        <f aca="false">(1-D367)^constant!$B$1</f>
        <v>0.999246132098882</v>
      </c>
      <c r="F367" s="0" t="n">
        <f aca="false">IF(A367=0,1,F366*E367)</f>
        <v>0.923314006154377</v>
      </c>
      <c r="G367" s="5" t="b">
        <f aca="false">B367&gt;=calc_cohort!C$2</f>
        <v>1</v>
      </c>
      <c r="H367" s="0" t="n">
        <f aca="false">IF(G367,1,0)</f>
        <v>1</v>
      </c>
      <c r="I367" s="0" t="n">
        <f aca="false">calc_cohort!$B$2*constant!$B$1*F367*H367</f>
        <v>0.949474569662084</v>
      </c>
      <c r="J367" s="0" t="n">
        <f aca="false">INDEX(table_spot_rate!B$1:B$2000,MATCH(A367,table_spot_rate!A$1:A$2000,0))</f>
        <v>0.0552063158585922</v>
      </c>
      <c r="K367" s="0" t="n">
        <f aca="false">(1+J367)^(-A367*constant!$B$1)</f>
        <v>0.195053896909125</v>
      </c>
      <c r="L367" s="0" t="n">
        <f aca="false">K367*I367</f>
        <v>0.185198714828704</v>
      </c>
    </row>
    <row r="368" customFormat="false" ht="12.8" hidden="false" customHeight="false" outlineLevel="0" collapsed="false">
      <c r="A368" s="0" t="n">
        <v>366</v>
      </c>
      <c r="B368" s="0" t="n">
        <f aca="false">calc_cohort!D$2+constant!$B$1*A368</f>
        <v>61.7</v>
      </c>
      <c r="C368" s="0" t="n">
        <f aca="false">_xlfn.FLOOR.MATH(B368)</f>
        <v>61</v>
      </c>
      <c r="D368" s="4" t="n">
        <f aca="false">INDEX(table_mortality_rate!$A$1:$C$2000,MATCH(C368,table_mortality_rate!$A$1:$A$2000,0),MATCH(calc_cohort!$E$2,table_mortality_rate!A$1:C$1,0))</f>
        <v>0.009009</v>
      </c>
      <c r="E368" s="0" t="n">
        <f aca="false">(1-D368)^constant!$B$1</f>
        <v>0.999246132098882</v>
      </c>
      <c r="F368" s="0" t="n">
        <f aca="false">IF(A368=0,1,F367*E368)</f>
        <v>0.922617949362484</v>
      </c>
      <c r="G368" s="5" t="b">
        <f aca="false">B368&gt;=calc_cohort!C$2</f>
        <v>1</v>
      </c>
      <c r="H368" s="0" t="n">
        <f aca="false">IF(G368,1,0)</f>
        <v>1</v>
      </c>
      <c r="I368" s="0" t="n">
        <f aca="false">calc_cohort!$B$2*constant!$B$1*F368*H368</f>
        <v>0.948758791261088</v>
      </c>
      <c r="J368" s="0" t="n">
        <f aca="false">INDEX(table_spot_rate!B$1:B$2000,MATCH(A368,table_spot_rate!A$1:A$2000,0))</f>
        <v>0.0592028171801498</v>
      </c>
      <c r="K368" s="0" t="n">
        <f aca="false">(1+J368)^(-A368*constant!$B$1)</f>
        <v>0.1730360610887</v>
      </c>
      <c r="L368" s="0" t="n">
        <f aca="false">K368*I368</f>
        <v>0.164169484163094</v>
      </c>
    </row>
    <row r="369" customFormat="false" ht="12.8" hidden="false" customHeight="false" outlineLevel="0" collapsed="false">
      <c r="A369" s="0" t="n">
        <v>367</v>
      </c>
      <c r="B369" s="0" t="n">
        <f aca="false">calc_cohort!D$2+constant!$B$1*A369</f>
        <v>61.7833333333333</v>
      </c>
      <c r="C369" s="0" t="n">
        <f aca="false">_xlfn.FLOOR.MATH(B369)</f>
        <v>61</v>
      </c>
      <c r="D369" s="4" t="n">
        <f aca="false">INDEX(table_mortality_rate!$A$1:$C$2000,MATCH(C369,table_mortality_rate!$A$1:$A$2000,0),MATCH(calc_cohort!$E$2,table_mortality_rate!A$1:C$1,0))</f>
        <v>0.009009</v>
      </c>
      <c r="E369" s="0" t="n">
        <f aca="false">(1-D369)^constant!$B$1</f>
        <v>0.999246132098882</v>
      </c>
      <c r="F369" s="0" t="n">
        <f aca="false">IF(A369=0,1,F368*E369)</f>
        <v>0.921922417305464</v>
      </c>
      <c r="G369" s="5" t="b">
        <f aca="false">B369&gt;=calc_cohort!C$2</f>
        <v>1</v>
      </c>
      <c r="H369" s="0" t="n">
        <f aca="false">IF(G369,1,0)</f>
        <v>1</v>
      </c>
      <c r="I369" s="0" t="n">
        <f aca="false">calc_cohort!$B$2*constant!$B$1*F369*H369</f>
        <v>0.948043552462452</v>
      </c>
      <c r="J369" s="0" t="n">
        <f aca="false">INDEX(table_spot_rate!B$1:B$2000,MATCH(A369,table_spot_rate!A$1:A$2000,0))</f>
        <v>0.0526072472647549</v>
      </c>
      <c r="K369" s="0" t="n">
        <f aca="false">(1+J369)^(-A369*constant!$B$1)</f>
        <v>0.208458984298681</v>
      </c>
      <c r="L369" s="0" t="n">
        <f aca="false">K369*I369</f>
        <v>0.197628196017236</v>
      </c>
    </row>
    <row r="370" customFormat="false" ht="12.8" hidden="false" customHeight="false" outlineLevel="0" collapsed="false">
      <c r="A370" s="0" t="n">
        <v>368</v>
      </c>
      <c r="B370" s="0" t="n">
        <f aca="false">calc_cohort!D$2+constant!$B$1*A370</f>
        <v>61.8666666666667</v>
      </c>
      <c r="C370" s="0" t="n">
        <f aca="false">_xlfn.FLOOR.MATH(B370)</f>
        <v>61</v>
      </c>
      <c r="D370" s="4" t="n">
        <f aca="false">INDEX(table_mortality_rate!$A$1:$C$2000,MATCH(C370,table_mortality_rate!$A$1:$A$2000,0),MATCH(calc_cohort!$E$2,table_mortality_rate!A$1:C$1,0))</f>
        <v>0.009009</v>
      </c>
      <c r="E370" s="0" t="n">
        <f aca="false">(1-D370)^constant!$B$1</f>
        <v>0.999246132098882</v>
      </c>
      <c r="F370" s="0" t="n">
        <f aca="false">IF(A370=0,1,F369*E370)</f>
        <v>0.921227409587736</v>
      </c>
      <c r="G370" s="5" t="b">
        <f aca="false">B370&gt;=calc_cohort!C$2</f>
        <v>1</v>
      </c>
      <c r="H370" s="0" t="n">
        <f aca="false">IF(G370,1,0)</f>
        <v>1</v>
      </c>
      <c r="I370" s="0" t="n">
        <f aca="false">calc_cohort!$B$2*constant!$B$1*F370*H370</f>
        <v>0.947328852859388</v>
      </c>
      <c r="J370" s="0" t="n">
        <f aca="false">INDEX(table_spot_rate!B$1:B$2000,MATCH(A370,table_spot_rate!A$1:A$2000,0))</f>
        <v>0.0577720055607717</v>
      </c>
      <c r="K370" s="0" t="n">
        <f aca="false">(1+J370)^(-A370*constant!$B$1)</f>
        <v>0.178639111453574</v>
      </c>
      <c r="L370" s="0" t="n">
        <f aca="false">K370*I370</f>
        <v>0.169229984529135</v>
      </c>
    </row>
    <row r="371" customFormat="false" ht="12.8" hidden="false" customHeight="false" outlineLevel="0" collapsed="false">
      <c r="A371" s="0" t="n">
        <v>369</v>
      </c>
      <c r="B371" s="0" t="n">
        <f aca="false">calc_cohort!D$2+constant!$B$1*A371</f>
        <v>61.95</v>
      </c>
      <c r="C371" s="0" t="n">
        <f aca="false">_xlfn.FLOOR.MATH(B371)</f>
        <v>61</v>
      </c>
      <c r="D371" s="4" t="n">
        <f aca="false">INDEX(table_mortality_rate!$A$1:$C$2000,MATCH(C371,table_mortality_rate!$A$1:$A$2000,0),MATCH(calc_cohort!$E$2,table_mortality_rate!A$1:C$1,0))</f>
        <v>0.009009</v>
      </c>
      <c r="E371" s="0" t="n">
        <f aca="false">(1-D371)^constant!$B$1</f>
        <v>0.999246132098882</v>
      </c>
      <c r="F371" s="0" t="n">
        <f aca="false">IF(A371=0,1,F370*E371)</f>
        <v>0.920532925814017</v>
      </c>
      <c r="G371" s="5" t="b">
        <f aca="false">B371&gt;=calc_cohort!C$2</f>
        <v>1</v>
      </c>
      <c r="H371" s="0" t="n">
        <f aca="false">IF(G371,1,0)</f>
        <v>1</v>
      </c>
      <c r="I371" s="0" t="n">
        <f aca="false">calc_cohort!$B$2*constant!$B$1*F371*H371</f>
        <v>0.946614692045414</v>
      </c>
      <c r="J371" s="0" t="n">
        <f aca="false">INDEX(table_spot_rate!B$1:B$2000,MATCH(A371,table_spot_rate!A$1:A$2000,0))</f>
        <v>0.0519247178278444</v>
      </c>
      <c r="K371" s="0" t="n">
        <f aca="false">(1+J371)^(-A371*constant!$B$1)</f>
        <v>0.210849075020096</v>
      </c>
      <c r="L371" s="0" t="n">
        <f aca="false">K371*I371</f>
        <v>0.199592832218209</v>
      </c>
    </row>
    <row r="372" customFormat="false" ht="12.8" hidden="false" customHeight="false" outlineLevel="0" collapsed="false">
      <c r="A372" s="0" t="n">
        <v>370</v>
      </c>
      <c r="B372" s="0" t="n">
        <f aca="false">calc_cohort!D$2+constant!$B$1*A372</f>
        <v>62.0333333333333</v>
      </c>
      <c r="C372" s="0" t="n">
        <f aca="false">_xlfn.FLOOR.MATH(B372)</f>
        <v>62</v>
      </c>
      <c r="D372" s="4" t="n">
        <f aca="false">INDEX(table_mortality_rate!$A$1:$C$2000,MATCH(C372,table_mortality_rate!$A$1:$A$2000,0),MATCH(calc_cohort!$E$2,table_mortality_rate!A$1:C$1,0))</f>
        <v>0.010112</v>
      </c>
      <c r="E372" s="0" t="n">
        <f aca="false">(1-D372)^constant!$B$1</f>
        <v>0.999153402435568</v>
      </c>
      <c r="F372" s="0" t="n">
        <f aca="false">IF(A372=0,1,F371*E372)</f>
        <v>0.919753604881043</v>
      </c>
      <c r="G372" s="5" t="b">
        <f aca="false">B372&gt;=calc_cohort!C$2</f>
        <v>1</v>
      </c>
      <c r="H372" s="0" t="n">
        <f aca="false">IF(G372,1,0)</f>
        <v>1</v>
      </c>
      <c r="I372" s="0" t="n">
        <f aca="false">calc_cohort!$B$2*constant!$B$1*F372*H372</f>
        <v>0.945813290352673</v>
      </c>
      <c r="J372" s="0" t="n">
        <f aca="false">INDEX(table_spot_rate!B$1:B$2000,MATCH(A372,table_spot_rate!A$1:A$2000,0))</f>
        <v>0.059791271961268</v>
      </c>
      <c r="K372" s="0" t="n">
        <f aca="false">(1+J372)^(-A372*constant!$B$1)</f>
        <v>0.166867936701439</v>
      </c>
      <c r="L372" s="0" t="n">
        <f aca="false">K372*I372</f>
        <v>0.15782591226595</v>
      </c>
    </row>
    <row r="373" customFormat="false" ht="12.8" hidden="false" customHeight="false" outlineLevel="0" collapsed="false">
      <c r="A373" s="0" t="n">
        <v>371</v>
      </c>
      <c r="B373" s="0" t="n">
        <f aca="false">calc_cohort!D$2+constant!$B$1*A373</f>
        <v>62.1166666666667</v>
      </c>
      <c r="C373" s="0" t="n">
        <f aca="false">_xlfn.FLOOR.MATH(B373)</f>
        <v>62</v>
      </c>
      <c r="D373" s="4" t="n">
        <f aca="false">INDEX(table_mortality_rate!$A$1:$C$2000,MATCH(C373,table_mortality_rate!$A$1:$A$2000,0),MATCH(calc_cohort!$E$2,table_mortality_rate!A$1:C$1,0))</f>
        <v>0.010112</v>
      </c>
      <c r="E373" s="0" t="n">
        <f aca="false">(1-D373)^constant!$B$1</f>
        <v>0.999153402435568</v>
      </c>
      <c r="F373" s="0" t="n">
        <f aca="false">IF(A373=0,1,F372*E373)</f>
        <v>0.918974943719273</v>
      </c>
      <c r="G373" s="5" t="b">
        <f aca="false">B373&gt;=calc_cohort!C$2</f>
        <v>1</v>
      </c>
      <c r="H373" s="0" t="n">
        <f aca="false">IF(G373,1,0)</f>
        <v>1</v>
      </c>
      <c r="I373" s="0" t="n">
        <f aca="false">calc_cohort!$B$2*constant!$B$1*F373*H373</f>
        <v>0.945012567124653</v>
      </c>
      <c r="J373" s="0" t="n">
        <f aca="false">INDEX(table_spot_rate!B$1:B$2000,MATCH(A373,table_spot_rate!A$1:A$2000,0))</f>
        <v>0.0532003171331708</v>
      </c>
      <c r="K373" s="0" t="n">
        <f aca="false">(1+J373)^(-A373*constant!$B$1)</f>
        <v>0.201388885136072</v>
      </c>
      <c r="L373" s="0" t="n">
        <f aca="false">K373*I373</f>
        <v>0.190315027332811</v>
      </c>
    </row>
    <row r="374" customFormat="false" ht="12.8" hidden="false" customHeight="false" outlineLevel="0" collapsed="false">
      <c r="A374" s="0" t="n">
        <v>372</v>
      </c>
      <c r="B374" s="0" t="n">
        <f aca="false">calc_cohort!D$2+constant!$B$1*A374</f>
        <v>62.2</v>
      </c>
      <c r="C374" s="0" t="n">
        <f aca="false">_xlfn.FLOOR.MATH(B374)</f>
        <v>62</v>
      </c>
      <c r="D374" s="4" t="n">
        <f aca="false">INDEX(table_mortality_rate!$A$1:$C$2000,MATCH(C374,table_mortality_rate!$A$1:$A$2000,0),MATCH(calc_cohort!$E$2,table_mortality_rate!A$1:C$1,0))</f>
        <v>0.010112</v>
      </c>
      <c r="E374" s="0" t="n">
        <f aca="false">(1-D374)^constant!$B$1</f>
        <v>0.999153402435568</v>
      </c>
      <c r="F374" s="0" t="n">
        <f aca="false">IF(A374=0,1,F373*E374)</f>
        <v>0.918196941770146</v>
      </c>
      <c r="G374" s="5" t="b">
        <f aca="false">B374&gt;=calc_cohort!C$2</f>
        <v>1</v>
      </c>
      <c r="H374" s="0" t="n">
        <f aca="false">IF(G374,1,0)</f>
        <v>1</v>
      </c>
      <c r="I374" s="0" t="n">
        <f aca="false">calc_cohort!$B$2*constant!$B$1*F374*H374</f>
        <v>0.944212521786967</v>
      </c>
      <c r="J374" s="0" t="n">
        <f aca="false">INDEX(table_spot_rate!B$1:B$2000,MATCH(A374,table_spot_rate!A$1:A$2000,0))</f>
        <v>0.0569199515727856</v>
      </c>
      <c r="K374" s="0" t="n">
        <f aca="false">(1+J374)^(-A374*constant!$B$1)</f>
        <v>0.179760810678311</v>
      </c>
      <c r="L374" s="0" t="n">
        <f aca="false">K374*I374</f>
        <v>0.169732408369037</v>
      </c>
    </row>
    <row r="375" customFormat="false" ht="12.8" hidden="false" customHeight="false" outlineLevel="0" collapsed="false">
      <c r="A375" s="0" t="n">
        <v>373</v>
      </c>
      <c r="B375" s="0" t="n">
        <f aca="false">calc_cohort!D$2+constant!$B$1*A375</f>
        <v>62.2833333333333</v>
      </c>
      <c r="C375" s="0" t="n">
        <f aca="false">_xlfn.FLOOR.MATH(B375)</f>
        <v>62</v>
      </c>
      <c r="D375" s="4" t="n">
        <f aca="false">INDEX(table_mortality_rate!$A$1:$C$2000,MATCH(C375,table_mortality_rate!$A$1:$A$2000,0),MATCH(calc_cohort!$E$2,table_mortality_rate!A$1:C$1,0))</f>
        <v>0.010112</v>
      </c>
      <c r="E375" s="0" t="n">
        <f aca="false">(1-D375)^constant!$B$1</f>
        <v>0.999153402435568</v>
      </c>
      <c r="F375" s="0" t="n">
        <f aca="false">IF(A375=0,1,F374*E375)</f>
        <v>0.917419598475575</v>
      </c>
      <c r="G375" s="5" t="b">
        <f aca="false">B375&gt;=calc_cohort!C$2</f>
        <v>1</v>
      </c>
      <c r="H375" s="0" t="n">
        <f aca="false">IF(G375,1,0)</f>
        <v>1</v>
      </c>
      <c r="I375" s="0" t="n">
        <f aca="false">calc_cohort!$B$2*constant!$B$1*F375*H375</f>
        <v>0.943413153765716</v>
      </c>
      <c r="J375" s="0" t="n">
        <f aca="false">INDEX(table_spot_rate!B$1:B$2000,MATCH(A375,table_spot_rate!A$1:A$2000,0))</f>
        <v>0.0526112545924239</v>
      </c>
      <c r="K375" s="0" t="n">
        <f aca="false">(1+J375)^(-A375*constant!$B$1)</f>
        <v>0.203158990885391</v>
      </c>
      <c r="L375" s="0" t="n">
        <f aca="false">K375*I375</f>
        <v>0.191662864307047</v>
      </c>
    </row>
    <row r="376" customFormat="false" ht="12.8" hidden="false" customHeight="false" outlineLevel="0" collapsed="false">
      <c r="A376" s="0" t="n">
        <v>374</v>
      </c>
      <c r="B376" s="0" t="n">
        <f aca="false">calc_cohort!D$2+constant!$B$1*A376</f>
        <v>62.3666666666667</v>
      </c>
      <c r="C376" s="0" t="n">
        <f aca="false">_xlfn.FLOOR.MATH(B376)</f>
        <v>62</v>
      </c>
      <c r="D376" s="4" t="n">
        <f aca="false">INDEX(table_mortality_rate!$A$1:$C$2000,MATCH(C376,table_mortality_rate!$A$1:$A$2000,0),MATCH(calc_cohort!$E$2,table_mortality_rate!A$1:C$1,0))</f>
        <v>0.010112</v>
      </c>
      <c r="E376" s="0" t="n">
        <f aca="false">(1-D376)^constant!$B$1</f>
        <v>0.999153402435568</v>
      </c>
      <c r="F376" s="0" t="n">
        <f aca="false">IF(A376=0,1,F375*E376)</f>
        <v>0.916642913277943</v>
      </c>
      <c r="G376" s="5" t="b">
        <f aca="false">B376&gt;=calc_cohort!C$2</f>
        <v>1</v>
      </c>
      <c r="H376" s="0" t="n">
        <f aca="false">IF(G376,1,0)</f>
        <v>1</v>
      </c>
      <c r="I376" s="0" t="n">
        <f aca="false">calc_cohort!$B$2*constant!$B$1*F376*H376</f>
        <v>0.942614462487485</v>
      </c>
      <c r="J376" s="0" t="n">
        <f aca="false">INDEX(table_spot_rate!B$1:B$2000,MATCH(A376,table_spot_rate!A$1:A$2000,0))</f>
        <v>0.0546728794452183</v>
      </c>
      <c r="K376" s="0" t="n">
        <f aca="false">(1+J376)^(-A376*constant!$B$1)</f>
        <v>0.19032502957023</v>
      </c>
      <c r="L376" s="0" t="n">
        <f aca="false">K376*I376</f>
        <v>0.179403125446257</v>
      </c>
    </row>
    <row r="377" customFormat="false" ht="12.8" hidden="false" customHeight="false" outlineLevel="0" collapsed="false">
      <c r="A377" s="0" t="n">
        <v>375</v>
      </c>
      <c r="B377" s="0" t="n">
        <f aca="false">calc_cohort!D$2+constant!$B$1*A377</f>
        <v>62.45</v>
      </c>
      <c r="C377" s="0" t="n">
        <f aca="false">_xlfn.FLOOR.MATH(B377)</f>
        <v>62</v>
      </c>
      <c r="D377" s="4" t="n">
        <f aca="false">INDEX(table_mortality_rate!$A$1:$C$2000,MATCH(C377,table_mortality_rate!$A$1:$A$2000,0),MATCH(calc_cohort!$E$2,table_mortality_rate!A$1:C$1,0))</f>
        <v>0.010112</v>
      </c>
      <c r="E377" s="0" t="n">
        <f aca="false">(1-D377)^constant!$B$1</f>
        <v>0.999153402435568</v>
      </c>
      <c r="F377" s="0" t="n">
        <f aca="false">IF(A377=0,1,F376*E377)</f>
        <v>0.915866885620108</v>
      </c>
      <c r="G377" s="5" t="b">
        <f aca="false">B377&gt;=calc_cohort!C$2</f>
        <v>1</v>
      </c>
      <c r="H377" s="0" t="n">
        <f aca="false">IF(G377,1,0)</f>
        <v>1</v>
      </c>
      <c r="I377" s="0" t="n">
        <f aca="false">calc_cohort!$B$2*constant!$B$1*F377*H377</f>
        <v>0.941816447379345</v>
      </c>
      <c r="J377" s="0" t="n">
        <f aca="false">INDEX(table_spot_rate!B$1:B$2000,MATCH(A377,table_spot_rate!A$1:A$2000,0))</f>
        <v>0.0593122402697636</v>
      </c>
      <c r="K377" s="0" t="n">
        <f aca="false">(1+J377)^(-A377*constant!$B$1)</f>
        <v>0.165196292148737</v>
      </c>
      <c r="L377" s="0" t="n">
        <f aca="false">K377*I377</f>
        <v>0.155584584991764</v>
      </c>
    </row>
    <row r="378" customFormat="false" ht="12.8" hidden="false" customHeight="false" outlineLevel="0" collapsed="false">
      <c r="A378" s="0" t="n">
        <v>376</v>
      </c>
      <c r="B378" s="0" t="n">
        <f aca="false">calc_cohort!D$2+constant!$B$1*A378</f>
        <v>62.5333333333333</v>
      </c>
      <c r="C378" s="0" t="n">
        <f aca="false">_xlfn.FLOOR.MATH(B378)</f>
        <v>62</v>
      </c>
      <c r="D378" s="4" t="n">
        <f aca="false">INDEX(table_mortality_rate!$A$1:$C$2000,MATCH(C378,table_mortality_rate!$A$1:$A$2000,0),MATCH(calc_cohort!$E$2,table_mortality_rate!A$1:C$1,0))</f>
        <v>0.010112</v>
      </c>
      <c r="E378" s="0" t="n">
        <f aca="false">(1-D378)^constant!$B$1</f>
        <v>0.999153402435568</v>
      </c>
      <c r="F378" s="0" t="n">
        <f aca="false">IF(A378=0,1,F377*E378)</f>
        <v>0.915091514945398</v>
      </c>
      <c r="G378" s="5" t="b">
        <f aca="false">B378&gt;=calc_cohort!C$2</f>
        <v>1</v>
      </c>
      <c r="H378" s="0" t="n">
        <f aca="false">IF(G378,1,0)</f>
        <v>1</v>
      </c>
      <c r="I378" s="0" t="n">
        <f aca="false">calc_cohort!$B$2*constant!$B$1*F378*H378</f>
        <v>0.941019107868851</v>
      </c>
      <c r="J378" s="0" t="n">
        <f aca="false">INDEX(table_spot_rate!B$1:B$2000,MATCH(A378,table_spot_rate!A$1:A$2000,0))</f>
        <v>0.0575081845132646</v>
      </c>
      <c r="K378" s="0" t="n">
        <f aca="false">(1+J378)^(-A378*constant!$B$1)</f>
        <v>0.173424146604127</v>
      </c>
      <c r="L378" s="0" t="n">
        <f aca="false">K378*I378</f>
        <v>0.163195435720332</v>
      </c>
    </row>
    <row r="379" customFormat="false" ht="12.8" hidden="false" customHeight="false" outlineLevel="0" collapsed="false">
      <c r="A379" s="0" t="n">
        <v>377</v>
      </c>
      <c r="B379" s="0" t="n">
        <f aca="false">calc_cohort!D$2+constant!$B$1*A379</f>
        <v>62.6166666666667</v>
      </c>
      <c r="C379" s="0" t="n">
        <f aca="false">_xlfn.FLOOR.MATH(B379)</f>
        <v>62</v>
      </c>
      <c r="D379" s="4" t="n">
        <f aca="false">INDEX(table_mortality_rate!$A$1:$C$2000,MATCH(C379,table_mortality_rate!$A$1:$A$2000,0),MATCH(calc_cohort!$E$2,table_mortality_rate!A$1:C$1,0))</f>
        <v>0.010112</v>
      </c>
      <c r="E379" s="0" t="n">
        <f aca="false">(1-D379)^constant!$B$1</f>
        <v>0.999153402435568</v>
      </c>
      <c r="F379" s="0" t="n">
        <f aca="false">IF(A379=0,1,F378*E379)</f>
        <v>0.914316800697613</v>
      </c>
      <c r="G379" s="5" t="b">
        <f aca="false">B379&gt;=calc_cohort!C$2</f>
        <v>1</v>
      </c>
      <c r="H379" s="0" t="n">
        <f aca="false">IF(G379,1,0)</f>
        <v>1</v>
      </c>
      <c r="I379" s="0" t="n">
        <f aca="false">calc_cohort!$B$2*constant!$B$1*F379*H379</f>
        <v>0.940222443384045</v>
      </c>
      <c r="J379" s="0" t="n">
        <f aca="false">INDEX(table_spot_rate!B$1:B$2000,MATCH(A379,table_spot_rate!A$1:A$2000,0))</f>
        <v>0.0572819801191631</v>
      </c>
      <c r="K379" s="0" t="n">
        <f aca="false">(1+J379)^(-A379*constant!$B$1)</f>
        <v>0.173781982384588</v>
      </c>
      <c r="L379" s="0" t="n">
        <f aca="false">K379*I379</f>
        <v>0.16339372009376</v>
      </c>
    </row>
    <row r="380" customFormat="false" ht="12.8" hidden="false" customHeight="false" outlineLevel="0" collapsed="false">
      <c r="A380" s="0" t="n">
        <v>378</v>
      </c>
      <c r="B380" s="0" t="n">
        <f aca="false">calc_cohort!D$2+constant!$B$1*A380</f>
        <v>62.7</v>
      </c>
      <c r="C380" s="0" t="n">
        <f aca="false">_xlfn.FLOOR.MATH(B380)</f>
        <v>62</v>
      </c>
      <c r="D380" s="4" t="n">
        <f aca="false">INDEX(table_mortality_rate!$A$1:$C$2000,MATCH(C380,table_mortality_rate!$A$1:$A$2000,0),MATCH(calc_cohort!$E$2,table_mortality_rate!A$1:C$1,0))</f>
        <v>0.010112</v>
      </c>
      <c r="E380" s="0" t="n">
        <f aca="false">(1-D380)^constant!$B$1</f>
        <v>0.999153402435568</v>
      </c>
      <c r="F380" s="0" t="n">
        <f aca="false">IF(A380=0,1,F379*E380)</f>
        <v>0.913542742321023</v>
      </c>
      <c r="G380" s="5" t="b">
        <f aca="false">B380&gt;=calc_cohort!C$2</f>
        <v>1</v>
      </c>
      <c r="H380" s="0" t="n">
        <f aca="false">IF(G380,1,0)</f>
        <v>1</v>
      </c>
      <c r="I380" s="0" t="n">
        <f aca="false">calc_cohort!$B$2*constant!$B$1*F380*H380</f>
        <v>0.939426453353452</v>
      </c>
      <c r="J380" s="0" t="n">
        <f aca="false">INDEX(table_spot_rate!B$1:B$2000,MATCH(A380,table_spot_rate!A$1:A$2000,0))</f>
        <v>0.0532953454722847</v>
      </c>
      <c r="K380" s="0" t="n">
        <f aca="false">(1+J380)^(-A380*constant!$B$1)</f>
        <v>0.194836267602963</v>
      </c>
      <c r="L380" s="0" t="n">
        <f aca="false">K380*I380</f>
        <v>0.183034343858875</v>
      </c>
    </row>
    <row r="381" customFormat="false" ht="12.8" hidden="false" customHeight="false" outlineLevel="0" collapsed="false">
      <c r="A381" s="0" t="n">
        <v>379</v>
      </c>
      <c r="B381" s="0" t="n">
        <f aca="false">calc_cohort!D$2+constant!$B$1*A381</f>
        <v>62.7833333333333</v>
      </c>
      <c r="C381" s="0" t="n">
        <f aca="false">_xlfn.FLOOR.MATH(B381)</f>
        <v>62</v>
      </c>
      <c r="D381" s="4" t="n">
        <f aca="false">INDEX(table_mortality_rate!$A$1:$C$2000,MATCH(C381,table_mortality_rate!$A$1:$A$2000,0),MATCH(calc_cohort!$E$2,table_mortality_rate!A$1:C$1,0))</f>
        <v>0.010112</v>
      </c>
      <c r="E381" s="0" t="n">
        <f aca="false">(1-D381)^constant!$B$1</f>
        <v>0.999153402435568</v>
      </c>
      <c r="F381" s="0" t="n">
        <f aca="false">IF(A381=0,1,F380*E381)</f>
        <v>0.91276933926037</v>
      </c>
      <c r="G381" s="5" t="b">
        <f aca="false">B381&gt;=calc_cohort!C$2</f>
        <v>1</v>
      </c>
      <c r="H381" s="0" t="n">
        <f aca="false">IF(G381,1,0)</f>
        <v>1</v>
      </c>
      <c r="I381" s="0" t="n">
        <f aca="false">calc_cohort!$B$2*constant!$B$1*F381*H381</f>
        <v>0.93863113720608</v>
      </c>
      <c r="J381" s="0" t="n">
        <f aca="false">INDEX(table_spot_rate!B$1:B$2000,MATCH(A381,table_spot_rate!A$1:A$2000,0))</f>
        <v>0.0589241276255904</v>
      </c>
      <c r="K381" s="0" t="n">
        <f aca="false">(1+J381)^(-A381*constant!$B$1)</f>
        <v>0.16394015785319</v>
      </c>
      <c r="L381" s="0" t="n">
        <f aca="false">K381*I381</f>
        <v>0.153879336799484</v>
      </c>
    </row>
    <row r="382" customFormat="false" ht="12.8" hidden="false" customHeight="false" outlineLevel="0" collapsed="false">
      <c r="A382" s="0" t="n">
        <v>380</v>
      </c>
      <c r="B382" s="0" t="n">
        <f aca="false">calc_cohort!D$2+constant!$B$1*A382</f>
        <v>62.8666666666667</v>
      </c>
      <c r="C382" s="0" t="n">
        <f aca="false">_xlfn.FLOOR.MATH(B382)</f>
        <v>62</v>
      </c>
      <c r="D382" s="4" t="n">
        <f aca="false">INDEX(table_mortality_rate!$A$1:$C$2000,MATCH(C382,table_mortality_rate!$A$1:$A$2000,0),MATCH(calc_cohort!$E$2,table_mortality_rate!A$1:C$1,0))</f>
        <v>0.010112</v>
      </c>
      <c r="E382" s="0" t="n">
        <f aca="false">(1-D382)^constant!$B$1</f>
        <v>0.999153402435568</v>
      </c>
      <c r="F382" s="0" t="n">
        <f aca="false">IF(A382=0,1,F381*E382)</f>
        <v>0.911996590960863</v>
      </c>
      <c r="G382" s="5" t="b">
        <f aca="false">B382&gt;=calc_cohort!C$2</f>
        <v>1</v>
      </c>
      <c r="H382" s="0" t="n">
        <f aca="false">IF(G382,1,0)</f>
        <v>1</v>
      </c>
      <c r="I382" s="0" t="n">
        <f aca="false">calc_cohort!$B$2*constant!$B$1*F382*H382</f>
        <v>0.937836494371421</v>
      </c>
      <c r="J382" s="0" t="n">
        <f aca="false">INDEX(table_spot_rate!B$1:B$2000,MATCH(A382,table_spot_rate!A$1:A$2000,0))</f>
        <v>0.0545080330819393</v>
      </c>
      <c r="K382" s="0" t="n">
        <f aca="false">(1+J382)^(-A382*constant!$B$1)</f>
        <v>0.186245907378932</v>
      </c>
      <c r="L382" s="0" t="n">
        <f aca="false">K382*I382</f>
        <v>0.174668208867282</v>
      </c>
    </row>
    <row r="383" customFormat="false" ht="12.8" hidden="false" customHeight="false" outlineLevel="0" collapsed="false">
      <c r="A383" s="0" t="n">
        <v>381</v>
      </c>
      <c r="B383" s="0" t="n">
        <f aca="false">calc_cohort!D$2+constant!$B$1*A383</f>
        <v>62.95</v>
      </c>
      <c r="C383" s="0" t="n">
        <f aca="false">_xlfn.FLOOR.MATH(B383)</f>
        <v>62</v>
      </c>
      <c r="D383" s="4" t="n">
        <f aca="false">INDEX(table_mortality_rate!$A$1:$C$2000,MATCH(C383,table_mortality_rate!$A$1:$A$2000,0),MATCH(calc_cohort!$E$2,table_mortality_rate!A$1:C$1,0))</f>
        <v>0.010112</v>
      </c>
      <c r="E383" s="0" t="n">
        <f aca="false">(1-D383)^constant!$B$1</f>
        <v>0.999153402435568</v>
      </c>
      <c r="F383" s="0" t="n">
        <f aca="false">IF(A383=0,1,F382*E383)</f>
        <v>0.911224496868186</v>
      </c>
      <c r="G383" s="5" t="b">
        <f aca="false">B383&gt;=calc_cohort!C$2</f>
        <v>1</v>
      </c>
      <c r="H383" s="0" t="n">
        <f aca="false">IF(G383,1,0)</f>
        <v>1</v>
      </c>
      <c r="I383" s="0" t="n">
        <f aca="false">calc_cohort!$B$2*constant!$B$1*F383*H383</f>
        <v>0.937042524279451</v>
      </c>
      <c r="J383" s="0" t="n">
        <f aca="false">INDEX(table_spot_rate!B$1:B$2000,MATCH(A383,table_spot_rate!A$1:A$2000,0))</f>
        <v>0.0571915130289204</v>
      </c>
      <c r="K383" s="0" t="n">
        <f aca="false">(1+J383)^(-A383*constant!$B$1)</f>
        <v>0.171049197206019</v>
      </c>
      <c r="L383" s="0" t="n">
        <f aca="false">K383*I383</f>
        <v>0.160280371525902</v>
      </c>
    </row>
    <row r="384" customFormat="false" ht="12.8" hidden="false" customHeight="false" outlineLevel="0" collapsed="false">
      <c r="A384" s="0" t="n">
        <v>382</v>
      </c>
      <c r="B384" s="0" t="n">
        <f aca="false">calc_cohort!D$2+constant!$B$1*A384</f>
        <v>63.0333333333333</v>
      </c>
      <c r="C384" s="0" t="n">
        <f aca="false">_xlfn.FLOOR.MATH(B384)</f>
        <v>63</v>
      </c>
      <c r="D384" s="4" t="n">
        <f aca="false">INDEX(table_mortality_rate!$A$1:$C$2000,MATCH(C384,table_mortality_rate!$A$1:$A$2000,0),MATCH(calc_cohort!$E$2,table_mortality_rate!A$1:C$1,0))</f>
        <v>0.011344</v>
      </c>
      <c r="E384" s="0" t="n">
        <f aca="false">(1-D384)^constant!$B$1</f>
        <v>0.999049715643772</v>
      </c>
      <c r="F384" s="0" t="n">
        <f aca="false">IF(A384=0,1,F383*E384)</f>
        <v>0.9103585744838</v>
      </c>
      <c r="G384" s="5" t="b">
        <f aca="false">B384&gt;=calc_cohort!C$2</f>
        <v>1</v>
      </c>
      <c r="H384" s="0" t="n">
        <f aca="false">IF(G384,1,0)</f>
        <v>1</v>
      </c>
      <c r="I384" s="0" t="n">
        <f aca="false">calc_cohort!$B$2*constant!$B$1*F384*H384</f>
        <v>0.936152067427508</v>
      </c>
      <c r="J384" s="0" t="n">
        <f aca="false">INDEX(table_spot_rate!B$1:B$2000,MATCH(A384,table_spot_rate!A$1:A$2000,0))</f>
        <v>0.0548522931726935</v>
      </c>
      <c r="K384" s="0" t="n">
        <f aca="false">(1+J384)^(-A384*constant!$B$1)</f>
        <v>0.182697427556948</v>
      </c>
      <c r="L384" s="0" t="n">
        <f aca="false">K384*I384</f>
        <v>0.171032574521124</v>
      </c>
    </row>
    <row r="385" customFormat="false" ht="12.8" hidden="false" customHeight="false" outlineLevel="0" collapsed="false">
      <c r="A385" s="0" t="n">
        <v>383</v>
      </c>
      <c r="B385" s="0" t="n">
        <f aca="false">calc_cohort!D$2+constant!$B$1*A385</f>
        <v>63.1166666666667</v>
      </c>
      <c r="C385" s="0" t="n">
        <f aca="false">_xlfn.FLOOR.MATH(B385)</f>
        <v>63</v>
      </c>
      <c r="D385" s="4" t="n">
        <f aca="false">INDEX(table_mortality_rate!$A$1:$C$2000,MATCH(C385,table_mortality_rate!$A$1:$A$2000,0),MATCH(calc_cohort!$E$2,table_mortality_rate!A$1:C$1,0))</f>
        <v>0.011344</v>
      </c>
      <c r="E385" s="0" t="n">
        <f aca="false">(1-D385)^constant!$B$1</f>
        <v>0.999049715643772</v>
      </c>
      <c r="F385" s="0" t="n">
        <f aca="false">IF(A385=0,1,F384*E385)</f>
        <v>0.909493474971911</v>
      </c>
      <c r="G385" s="5" t="b">
        <f aca="false">B385&gt;=calc_cohort!C$2</f>
        <v>1</v>
      </c>
      <c r="H385" s="0" t="n">
        <f aca="false">IF(G385,1,0)</f>
        <v>1</v>
      </c>
      <c r="I385" s="0" t="n">
        <f aca="false">calc_cohort!$B$2*constant!$B$1*F385*H385</f>
        <v>0.935262456762782</v>
      </c>
      <c r="J385" s="0" t="n">
        <f aca="false">INDEX(table_spot_rate!B$1:B$2000,MATCH(A385,table_spot_rate!A$1:A$2000,0))</f>
        <v>0.0584144191260712</v>
      </c>
      <c r="K385" s="0" t="n">
        <f aca="false">(1+J385)^(-A385*constant!$B$1)</f>
        <v>0.163331788426645</v>
      </c>
      <c r="L385" s="0" t="n">
        <f aca="false">K385*I385</f>
        <v>0.152758089711363</v>
      </c>
    </row>
    <row r="386" customFormat="false" ht="12.8" hidden="false" customHeight="false" outlineLevel="0" collapsed="false">
      <c r="A386" s="0" t="n">
        <v>384</v>
      </c>
      <c r="B386" s="0" t="n">
        <f aca="false">calc_cohort!D$2+constant!$B$1*A386</f>
        <v>63.2</v>
      </c>
      <c r="C386" s="0" t="n">
        <f aca="false">_xlfn.FLOOR.MATH(B386)</f>
        <v>63</v>
      </c>
      <c r="D386" s="4" t="n">
        <f aca="false">INDEX(table_mortality_rate!$A$1:$C$2000,MATCH(C386,table_mortality_rate!$A$1:$A$2000,0),MATCH(calc_cohort!$E$2,table_mortality_rate!A$1:C$1,0))</f>
        <v>0.011344</v>
      </c>
      <c r="E386" s="0" t="n">
        <f aca="false">(1-D386)^constant!$B$1</f>
        <v>0.999049715643772</v>
      </c>
      <c r="F386" s="0" t="n">
        <f aca="false">IF(A386=0,1,F385*E386)</f>
        <v>0.908629197550554</v>
      </c>
      <c r="G386" s="5" t="b">
        <f aca="false">B386&gt;=calc_cohort!C$2</f>
        <v>1</v>
      </c>
      <c r="H386" s="0" t="n">
        <f aca="false">IF(G386,1,0)</f>
        <v>1</v>
      </c>
      <c r="I386" s="0" t="n">
        <f aca="false">calc_cohort!$B$2*constant!$B$1*F386*H386</f>
        <v>0.934373691481153</v>
      </c>
      <c r="J386" s="0" t="n">
        <f aca="false">INDEX(table_spot_rate!B$1:B$2000,MATCH(A386,table_spot_rate!A$1:A$2000,0))</f>
        <v>0.0507765639037261</v>
      </c>
      <c r="K386" s="0" t="n">
        <f aca="false">(1+J386)^(-A386*constant!$B$1)</f>
        <v>0.204959431322877</v>
      </c>
      <c r="L386" s="0" t="n">
        <f aca="false">K386*I386</f>
        <v>0.191508700449035</v>
      </c>
    </row>
    <row r="387" customFormat="false" ht="12.8" hidden="false" customHeight="false" outlineLevel="0" collapsed="false">
      <c r="A387" s="0" t="n">
        <v>385</v>
      </c>
      <c r="B387" s="0" t="n">
        <f aca="false">calc_cohort!D$2+constant!$B$1*A387</f>
        <v>63.2833333333333</v>
      </c>
      <c r="C387" s="0" t="n">
        <f aca="false">_xlfn.FLOOR.MATH(B387)</f>
        <v>63</v>
      </c>
      <c r="D387" s="4" t="n">
        <f aca="false">INDEX(table_mortality_rate!$A$1:$C$2000,MATCH(C387,table_mortality_rate!$A$1:$A$2000,0),MATCH(calc_cohort!$E$2,table_mortality_rate!A$1:C$1,0))</f>
        <v>0.011344</v>
      </c>
      <c r="E387" s="0" t="n">
        <f aca="false">(1-D387)^constant!$B$1</f>
        <v>0.999049715643772</v>
      </c>
      <c r="F387" s="0" t="n">
        <f aca="false">IF(A387=0,1,F386*E387)</f>
        <v>0.90776574143851</v>
      </c>
      <c r="G387" s="5" t="b">
        <f aca="false">B387&gt;=calc_cohort!C$2</f>
        <v>1</v>
      </c>
      <c r="H387" s="0" t="n">
        <f aca="false">IF(G387,1,0)</f>
        <v>1</v>
      </c>
      <c r="I387" s="0" t="n">
        <f aca="false">calc_cohort!$B$2*constant!$B$1*F387*H387</f>
        <v>0.933485770779268</v>
      </c>
      <c r="J387" s="0" t="n">
        <f aca="false">INDEX(table_spot_rate!B$1:B$2000,MATCH(A387,table_spot_rate!A$1:A$2000,0))</f>
        <v>0.0595207808829637</v>
      </c>
      <c r="K387" s="0" t="n">
        <f aca="false">(1+J387)^(-A387*constant!$B$1)</f>
        <v>0.156460318679141</v>
      </c>
      <c r="L387" s="0" t="n">
        <f aca="false">K387*I387</f>
        <v>0.146053481178568</v>
      </c>
    </row>
    <row r="388" customFormat="false" ht="12.8" hidden="false" customHeight="false" outlineLevel="0" collapsed="false">
      <c r="A388" s="0" t="n">
        <v>386</v>
      </c>
      <c r="B388" s="0" t="n">
        <f aca="false">calc_cohort!D$2+constant!$B$1*A388</f>
        <v>63.3666666666667</v>
      </c>
      <c r="C388" s="0" t="n">
        <f aca="false">_xlfn.FLOOR.MATH(B388)</f>
        <v>63</v>
      </c>
      <c r="D388" s="4" t="n">
        <f aca="false">INDEX(table_mortality_rate!$A$1:$C$2000,MATCH(C388,table_mortality_rate!$A$1:$A$2000,0),MATCH(calc_cohort!$E$2,table_mortality_rate!A$1:C$1,0))</f>
        <v>0.011344</v>
      </c>
      <c r="E388" s="0" t="n">
        <f aca="false">(1-D388)^constant!$B$1</f>
        <v>0.999049715643772</v>
      </c>
      <c r="F388" s="0" t="n">
        <f aca="false">IF(A388=0,1,F387*E388)</f>
        <v>0.906903105855302</v>
      </c>
      <c r="G388" s="5" t="b">
        <f aca="false">B388&gt;=calc_cohort!C$2</f>
        <v>1</v>
      </c>
      <c r="H388" s="0" t="n">
        <f aca="false">IF(G388,1,0)</f>
        <v>1</v>
      </c>
      <c r="I388" s="0" t="n">
        <f aca="false">calc_cohort!$B$2*constant!$B$1*F388*H388</f>
        <v>0.932598693854535</v>
      </c>
      <c r="J388" s="0" t="n">
        <f aca="false">INDEX(table_spot_rate!B$1:B$2000,MATCH(A388,table_spot_rate!A$1:A$2000,0))</f>
        <v>0.0525062665049832</v>
      </c>
      <c r="K388" s="0" t="n">
        <f aca="false">(1+J388)^(-A388*constant!$B$1)</f>
        <v>0.192799452708055</v>
      </c>
      <c r="L388" s="0" t="n">
        <f aca="false">K388*I388</f>
        <v>0.179804517771401</v>
      </c>
    </row>
    <row r="389" customFormat="false" ht="12.8" hidden="false" customHeight="false" outlineLevel="0" collapsed="false">
      <c r="A389" s="0" t="n">
        <v>387</v>
      </c>
      <c r="B389" s="0" t="n">
        <f aca="false">calc_cohort!D$2+constant!$B$1*A389</f>
        <v>63.45</v>
      </c>
      <c r="C389" s="0" t="n">
        <f aca="false">_xlfn.FLOOR.MATH(B389)</f>
        <v>63</v>
      </c>
      <c r="D389" s="4" t="n">
        <f aca="false">INDEX(table_mortality_rate!$A$1:$C$2000,MATCH(C389,table_mortality_rate!$A$1:$A$2000,0),MATCH(calc_cohort!$E$2,table_mortality_rate!A$1:C$1,0))</f>
        <v>0.011344</v>
      </c>
      <c r="E389" s="0" t="n">
        <f aca="false">(1-D389)^constant!$B$1</f>
        <v>0.999049715643772</v>
      </c>
      <c r="F389" s="0" t="n">
        <f aca="false">IF(A389=0,1,F388*E389)</f>
        <v>0.906041290021193</v>
      </c>
      <c r="G389" s="5" t="b">
        <f aca="false">B389&gt;=calc_cohort!C$2</f>
        <v>1</v>
      </c>
      <c r="H389" s="0" t="n">
        <f aca="false">IF(G389,1,0)</f>
        <v>1</v>
      </c>
      <c r="I389" s="0" t="n">
        <f aca="false">calc_cohort!$B$2*constant!$B$1*F389*H389</f>
        <v>0.931712459905127</v>
      </c>
      <c r="J389" s="0" t="n">
        <f aca="false">INDEX(table_spot_rate!B$1:B$2000,MATCH(A389,table_spot_rate!A$1:A$2000,0))</f>
        <v>0.0535271256448823</v>
      </c>
      <c r="K389" s="0" t="n">
        <f aca="false">(1+J389)^(-A389*constant!$B$1)</f>
        <v>0.186069616851682</v>
      </c>
      <c r="L389" s="0" t="n">
        <f aca="false">K389*I389</f>
        <v>0.173363380430485</v>
      </c>
    </row>
    <row r="390" customFormat="false" ht="12.8" hidden="false" customHeight="false" outlineLevel="0" collapsed="false">
      <c r="A390" s="0" t="n">
        <v>388</v>
      </c>
      <c r="B390" s="0" t="n">
        <f aca="false">calc_cohort!D$2+constant!$B$1*A390</f>
        <v>63.5333333333333</v>
      </c>
      <c r="C390" s="0" t="n">
        <f aca="false">_xlfn.FLOOR.MATH(B390)</f>
        <v>63</v>
      </c>
      <c r="D390" s="4" t="n">
        <f aca="false">INDEX(table_mortality_rate!$A$1:$C$2000,MATCH(C390,table_mortality_rate!$A$1:$A$2000,0),MATCH(calc_cohort!$E$2,table_mortality_rate!A$1:C$1,0))</f>
        <v>0.011344</v>
      </c>
      <c r="E390" s="0" t="n">
        <f aca="false">(1-D390)^constant!$B$1</f>
        <v>0.999049715643772</v>
      </c>
      <c r="F390" s="0" t="n">
        <f aca="false">IF(A390=0,1,F389*E390)</f>
        <v>0.90518029315719</v>
      </c>
      <c r="G390" s="5" t="b">
        <f aca="false">B390&gt;=calc_cohort!C$2</f>
        <v>1</v>
      </c>
      <c r="H390" s="0" t="n">
        <f aca="false">IF(G390,1,0)</f>
        <v>1</v>
      </c>
      <c r="I390" s="0" t="n">
        <f aca="false">calc_cohort!$B$2*constant!$B$1*F390*H390</f>
        <v>0.930827068129977</v>
      </c>
      <c r="J390" s="0" t="n">
        <f aca="false">INDEX(table_spot_rate!B$1:B$2000,MATCH(A390,table_spot_rate!A$1:A$2000,0))</f>
        <v>0.0505248364807461</v>
      </c>
      <c r="K390" s="0" t="n">
        <f aca="false">(1+J390)^(-A390*constant!$B$1)</f>
        <v>0.203171214347951</v>
      </c>
      <c r="L390" s="0" t="n">
        <f aca="false">K390*I390</f>
        <v>0.189117265779911</v>
      </c>
    </row>
    <row r="391" customFormat="false" ht="12.8" hidden="false" customHeight="false" outlineLevel="0" collapsed="false">
      <c r="A391" s="0" t="n">
        <v>389</v>
      </c>
      <c r="B391" s="0" t="n">
        <f aca="false">calc_cohort!D$2+constant!$B$1*A391</f>
        <v>63.6166666666667</v>
      </c>
      <c r="C391" s="0" t="n">
        <f aca="false">_xlfn.FLOOR.MATH(B391)</f>
        <v>63</v>
      </c>
      <c r="D391" s="4" t="n">
        <f aca="false">INDEX(table_mortality_rate!$A$1:$C$2000,MATCH(C391,table_mortality_rate!$A$1:$A$2000,0),MATCH(calc_cohort!$E$2,table_mortality_rate!A$1:C$1,0))</f>
        <v>0.011344</v>
      </c>
      <c r="E391" s="0" t="n">
        <f aca="false">(1-D391)^constant!$B$1</f>
        <v>0.999049715643772</v>
      </c>
      <c r="F391" s="0" t="n">
        <f aca="false">IF(A391=0,1,F390*E391)</f>
        <v>0.904320114485037</v>
      </c>
      <c r="G391" s="5" t="b">
        <f aca="false">B391&gt;=calc_cohort!C$2</f>
        <v>1</v>
      </c>
      <c r="H391" s="0" t="n">
        <f aca="false">IF(G391,1,0)</f>
        <v>1</v>
      </c>
      <c r="I391" s="0" t="n">
        <f aca="false">calc_cohort!$B$2*constant!$B$1*F391*H391</f>
        <v>0.92994251772878</v>
      </c>
      <c r="J391" s="0" t="n">
        <f aca="false">INDEX(table_spot_rate!B$1:B$2000,MATCH(A391,table_spot_rate!A$1:A$2000,0))</f>
        <v>0.0526776594940174</v>
      </c>
      <c r="K391" s="0" t="n">
        <f aca="false">(1+J391)^(-A391*constant!$B$1)</f>
        <v>0.189346485784445</v>
      </c>
      <c r="L391" s="0" t="n">
        <f aca="false">K391*I391</f>
        <v>0.176081347713483</v>
      </c>
    </row>
    <row r="392" customFormat="false" ht="12.8" hidden="false" customHeight="false" outlineLevel="0" collapsed="false">
      <c r="A392" s="0" t="n">
        <v>390</v>
      </c>
      <c r="B392" s="0" t="n">
        <f aca="false">calc_cohort!D$2+constant!$B$1*A392</f>
        <v>63.7</v>
      </c>
      <c r="C392" s="0" t="n">
        <f aca="false">_xlfn.FLOOR.MATH(B392)</f>
        <v>63</v>
      </c>
      <c r="D392" s="4" t="n">
        <f aca="false">INDEX(table_mortality_rate!$A$1:$C$2000,MATCH(C392,table_mortality_rate!$A$1:$A$2000,0),MATCH(calc_cohort!$E$2,table_mortality_rate!A$1:C$1,0))</f>
        <v>0.011344</v>
      </c>
      <c r="E392" s="0" t="n">
        <f aca="false">(1-D392)^constant!$B$1</f>
        <v>0.999049715643772</v>
      </c>
      <c r="F392" s="0" t="n">
        <f aca="false">IF(A392=0,1,F391*E392)</f>
        <v>0.90346075322722</v>
      </c>
      <c r="G392" s="5" t="b">
        <f aca="false">B392&gt;=calc_cohort!C$2</f>
        <v>1</v>
      </c>
      <c r="H392" s="0" t="n">
        <f aca="false">IF(G392,1,0)</f>
        <v>1</v>
      </c>
      <c r="I392" s="0" t="n">
        <f aca="false">calc_cohort!$B$2*constant!$B$1*F392*H392</f>
        <v>0.929058807901991</v>
      </c>
      <c r="J392" s="0" t="n">
        <f aca="false">INDEX(table_spot_rate!B$1:B$2000,MATCH(A392,table_spot_rate!A$1:A$2000,0))</f>
        <v>0.0519107723668771</v>
      </c>
      <c r="K392" s="0" t="n">
        <f aca="false">(1+J392)^(-A392*constant!$B$1)</f>
        <v>0.193057049355775</v>
      </c>
      <c r="L392" s="0" t="n">
        <f aca="false">K392*I392</f>
        <v>0.179361352131552</v>
      </c>
    </row>
    <row r="393" customFormat="false" ht="12.8" hidden="false" customHeight="false" outlineLevel="0" collapsed="false">
      <c r="A393" s="0" t="n">
        <v>391</v>
      </c>
      <c r="B393" s="0" t="n">
        <f aca="false">calc_cohort!D$2+constant!$B$1*A393</f>
        <v>63.7833333333333</v>
      </c>
      <c r="C393" s="0" t="n">
        <f aca="false">_xlfn.FLOOR.MATH(B393)</f>
        <v>63</v>
      </c>
      <c r="D393" s="4" t="n">
        <f aca="false">INDEX(table_mortality_rate!$A$1:$C$2000,MATCH(C393,table_mortality_rate!$A$1:$A$2000,0),MATCH(calc_cohort!$E$2,table_mortality_rate!A$1:C$1,0))</f>
        <v>0.011344</v>
      </c>
      <c r="E393" s="0" t="n">
        <f aca="false">(1-D393)^constant!$B$1</f>
        <v>0.999049715643772</v>
      </c>
      <c r="F393" s="0" t="n">
        <f aca="false">IF(A393=0,1,F392*E393)</f>
        <v>0.902602208606963</v>
      </c>
      <c r="G393" s="5" t="b">
        <f aca="false">B393&gt;=calc_cohort!C$2</f>
        <v>1</v>
      </c>
      <c r="H393" s="0" t="n">
        <f aca="false">IF(G393,1,0)</f>
        <v>1</v>
      </c>
      <c r="I393" s="0" t="n">
        <f aca="false">calc_cohort!$B$2*constant!$B$1*F393*H393</f>
        <v>0.928175937850827</v>
      </c>
      <c r="J393" s="0" t="n">
        <f aca="false">INDEX(table_spot_rate!B$1:B$2000,MATCH(A393,table_spot_rate!A$1:A$2000,0))</f>
        <v>0.0517006707972841</v>
      </c>
      <c r="K393" s="0" t="n">
        <f aca="false">(1+J393)^(-A393*constant!$B$1)</f>
        <v>0.193499901883006</v>
      </c>
      <c r="L393" s="0" t="n">
        <f aca="false">K393*I393</f>
        <v>0.179601952904302</v>
      </c>
    </row>
    <row r="394" customFormat="false" ht="12.8" hidden="false" customHeight="false" outlineLevel="0" collapsed="false">
      <c r="A394" s="0" t="n">
        <v>392</v>
      </c>
      <c r="B394" s="0" t="n">
        <f aca="false">calc_cohort!D$2+constant!$B$1*A394</f>
        <v>63.8666666666667</v>
      </c>
      <c r="C394" s="0" t="n">
        <f aca="false">_xlfn.FLOOR.MATH(B394)</f>
        <v>63</v>
      </c>
      <c r="D394" s="4" t="n">
        <f aca="false">INDEX(table_mortality_rate!$A$1:$C$2000,MATCH(C394,table_mortality_rate!$A$1:$A$2000,0),MATCH(calc_cohort!$E$2,table_mortality_rate!A$1:C$1,0))</f>
        <v>0.011344</v>
      </c>
      <c r="E394" s="0" t="n">
        <f aca="false">(1-D394)^constant!$B$1</f>
        <v>0.999049715643772</v>
      </c>
      <c r="F394" s="0" t="n">
        <f aca="false">IF(A394=0,1,F393*E394)</f>
        <v>0.901744479848227</v>
      </c>
      <c r="G394" s="5" t="b">
        <f aca="false">B394&gt;=calc_cohort!C$2</f>
        <v>1</v>
      </c>
      <c r="H394" s="0" t="n">
        <f aca="false">IF(G394,1,0)</f>
        <v>1</v>
      </c>
      <c r="I394" s="0" t="n">
        <f aca="false">calc_cohort!$B$2*constant!$B$1*F394*H394</f>
        <v>0.92729390677726</v>
      </c>
      <c r="J394" s="0" t="n">
        <f aca="false">INDEX(table_spot_rate!B$1:B$2000,MATCH(A394,table_spot_rate!A$1:A$2000,0))</f>
        <v>0.0543691402315873</v>
      </c>
      <c r="K394" s="0" t="n">
        <f aca="false">(1+J394)^(-A394*constant!$B$1)</f>
        <v>0.177380379937538</v>
      </c>
      <c r="L394" s="0" t="n">
        <f aca="false">K394*I394</f>
        <v>0.164483745497914</v>
      </c>
    </row>
    <row r="395" customFormat="false" ht="12.8" hidden="false" customHeight="false" outlineLevel="0" collapsed="false">
      <c r="A395" s="0" t="n">
        <v>393</v>
      </c>
      <c r="B395" s="0" t="n">
        <f aca="false">calc_cohort!D$2+constant!$B$1*A395</f>
        <v>63.95</v>
      </c>
      <c r="C395" s="0" t="n">
        <f aca="false">_xlfn.FLOOR.MATH(B395)</f>
        <v>63</v>
      </c>
      <c r="D395" s="4" t="n">
        <f aca="false">INDEX(table_mortality_rate!$A$1:$C$2000,MATCH(C395,table_mortality_rate!$A$1:$A$2000,0),MATCH(calc_cohort!$E$2,table_mortality_rate!A$1:C$1,0))</f>
        <v>0.011344</v>
      </c>
      <c r="E395" s="0" t="n">
        <f aca="false">(1-D395)^constant!$B$1</f>
        <v>0.999049715643772</v>
      </c>
      <c r="F395" s="0" t="n">
        <f aca="false">IF(A395=0,1,F394*E395)</f>
        <v>0.900887566175713</v>
      </c>
      <c r="G395" s="5" t="b">
        <f aca="false">B395&gt;=calc_cohort!C$2</f>
        <v>1</v>
      </c>
      <c r="H395" s="0" t="n">
        <f aca="false">IF(G395,1,0)</f>
        <v>1</v>
      </c>
      <c r="I395" s="0" t="n">
        <f aca="false">calc_cohort!$B$2*constant!$B$1*F395*H395</f>
        <v>0.926412713884025</v>
      </c>
      <c r="J395" s="0" t="n">
        <f aca="false">INDEX(table_spot_rate!B$1:B$2000,MATCH(A395,table_spot_rate!A$1:A$2000,0))</f>
        <v>0.052836008618313</v>
      </c>
      <c r="K395" s="0" t="n">
        <f aca="false">(1+J395)^(-A395*constant!$B$1)</f>
        <v>0.185219236792087</v>
      </c>
      <c r="L395" s="0" t="n">
        <f aca="false">K395*I395</f>
        <v>0.171589455820085</v>
      </c>
    </row>
    <row r="396" customFormat="false" ht="12.8" hidden="false" customHeight="false" outlineLevel="0" collapsed="false">
      <c r="A396" s="0" t="n">
        <v>394</v>
      </c>
      <c r="B396" s="0" t="n">
        <f aca="false">calc_cohort!D$2+constant!$B$1*A396</f>
        <v>64.0333333333333</v>
      </c>
      <c r="C396" s="0" t="n">
        <f aca="false">_xlfn.FLOOR.MATH(B396)</f>
        <v>64</v>
      </c>
      <c r="D396" s="4" t="n">
        <f aca="false">INDEX(table_mortality_rate!$A$1:$C$2000,MATCH(C396,table_mortality_rate!$A$1:$A$2000,0),MATCH(calc_cohort!$E$2,table_mortality_rate!A$1:C$1,0))</f>
        <v>0.012716</v>
      </c>
      <c r="E396" s="0" t="n">
        <f aca="false">(1-D396)^constant!$B$1</f>
        <v>0.998934106775679</v>
      </c>
      <c r="F396" s="0" t="n">
        <f aca="false">IF(A396=0,1,F395*E396)</f>
        <v>0.899927316223051</v>
      </c>
      <c r="G396" s="5" t="b">
        <f aca="false">B396&gt;=calc_cohort!C$2</f>
        <v>1</v>
      </c>
      <c r="H396" s="0" t="n">
        <f aca="false">IF(G396,1,0)</f>
        <v>1</v>
      </c>
      <c r="I396" s="0" t="n">
        <f aca="false">calc_cohort!$B$2*constant!$B$1*F396*H396</f>
        <v>0.925425256849371</v>
      </c>
      <c r="J396" s="0" t="n">
        <f aca="false">INDEX(table_spot_rate!B$1:B$2000,MATCH(A396,table_spot_rate!A$1:A$2000,0))</f>
        <v>0.0515948791299683</v>
      </c>
      <c r="K396" s="0" t="n">
        <f aca="false">(1+J396)^(-A396*constant!$B$1)</f>
        <v>0.191708842486981</v>
      </c>
      <c r="L396" s="0" t="n">
        <f aca="false">K396*I396</f>
        <v>0.17741220479881</v>
      </c>
    </row>
    <row r="397" customFormat="false" ht="12.8" hidden="false" customHeight="false" outlineLevel="0" collapsed="false">
      <c r="A397" s="0" t="n">
        <v>395</v>
      </c>
      <c r="B397" s="0" t="n">
        <f aca="false">calc_cohort!D$2+constant!$B$1*A397</f>
        <v>64.1166666666667</v>
      </c>
      <c r="C397" s="0" t="n">
        <f aca="false">_xlfn.FLOOR.MATH(B397)</f>
        <v>64</v>
      </c>
      <c r="D397" s="4" t="n">
        <f aca="false">INDEX(table_mortality_rate!$A$1:$C$2000,MATCH(C397,table_mortality_rate!$A$1:$A$2000,0),MATCH(calc_cohort!$E$2,table_mortality_rate!A$1:C$1,0))</f>
        <v>0.012716</v>
      </c>
      <c r="E397" s="0" t="n">
        <f aca="false">(1-D397)^constant!$B$1</f>
        <v>0.998934106775679</v>
      </c>
      <c r="F397" s="0" t="n">
        <f aca="false">IF(A397=0,1,F396*E397)</f>
        <v>0.898968089794308</v>
      </c>
      <c r="G397" s="5" t="b">
        <f aca="false">B397&gt;=calc_cohort!C$2</f>
        <v>1</v>
      </c>
      <c r="H397" s="0" t="n">
        <f aca="false">IF(G397,1,0)</f>
        <v>1</v>
      </c>
      <c r="I397" s="0" t="n">
        <f aca="false">calc_cohort!$B$2*constant!$B$1*F397*H397</f>
        <v>0.92443885233848</v>
      </c>
      <c r="J397" s="0" t="n">
        <f aca="false">INDEX(table_spot_rate!B$1:B$2000,MATCH(A397,table_spot_rate!A$1:A$2000,0))</f>
        <v>0.0518276412349044</v>
      </c>
      <c r="K397" s="0" t="n">
        <f aca="false">(1+J397)^(-A397*constant!$B$1)</f>
        <v>0.189521109225093</v>
      </c>
      <c r="L397" s="0" t="n">
        <f aca="false">K397*I397</f>
        <v>0.175200676705961</v>
      </c>
    </row>
    <row r="398" customFormat="false" ht="12.8" hidden="false" customHeight="false" outlineLevel="0" collapsed="false">
      <c r="A398" s="0" t="n">
        <v>396</v>
      </c>
      <c r="B398" s="0" t="n">
        <f aca="false">calc_cohort!D$2+constant!$B$1*A398</f>
        <v>64.2</v>
      </c>
      <c r="C398" s="0" t="n">
        <f aca="false">_xlfn.FLOOR.MATH(B398)</f>
        <v>64</v>
      </c>
      <c r="D398" s="4" t="n">
        <f aca="false">INDEX(table_mortality_rate!$A$1:$C$2000,MATCH(C398,table_mortality_rate!$A$1:$A$2000,0),MATCH(calc_cohort!$E$2,table_mortality_rate!A$1:C$1,0))</f>
        <v>0.012716</v>
      </c>
      <c r="E398" s="0" t="n">
        <f aca="false">(1-D398)^constant!$B$1</f>
        <v>0.998934106775679</v>
      </c>
      <c r="F398" s="0" t="n">
        <f aca="false">IF(A398=0,1,F397*E398)</f>
        <v>0.898009885798516</v>
      </c>
      <c r="G398" s="5" t="b">
        <f aca="false">B398&gt;=calc_cohort!C$2</f>
        <v>1</v>
      </c>
      <c r="H398" s="0" t="n">
        <f aca="false">IF(G398,1,0)</f>
        <v>1</v>
      </c>
      <c r="I398" s="0" t="n">
        <f aca="false">calc_cohort!$B$2*constant!$B$1*F398*H398</f>
        <v>0.923453499229474</v>
      </c>
      <c r="J398" s="0" t="n">
        <f aca="false">INDEX(table_spot_rate!B$1:B$2000,MATCH(A398,table_spot_rate!A$1:A$2000,0))</f>
        <v>0.050916830087567</v>
      </c>
      <c r="K398" s="0" t="n">
        <f aca="false">(1+J398)^(-A398*constant!$B$1)</f>
        <v>0.194197906222726</v>
      </c>
      <c r="L398" s="0" t="n">
        <f aca="false">K398*I398</f>
        <v>0.179332736044413</v>
      </c>
    </row>
    <row r="399" customFormat="false" ht="12.8" hidden="false" customHeight="false" outlineLevel="0" collapsed="false">
      <c r="A399" s="0" t="n">
        <v>397</v>
      </c>
      <c r="B399" s="0" t="n">
        <f aca="false">calc_cohort!D$2+constant!$B$1*A399</f>
        <v>64.2833333333333</v>
      </c>
      <c r="C399" s="0" t="n">
        <f aca="false">_xlfn.FLOOR.MATH(B399)</f>
        <v>64</v>
      </c>
      <c r="D399" s="4" t="n">
        <f aca="false">INDEX(table_mortality_rate!$A$1:$C$2000,MATCH(C399,table_mortality_rate!$A$1:$A$2000,0),MATCH(calc_cohort!$E$2,table_mortality_rate!A$1:C$1,0))</f>
        <v>0.012716</v>
      </c>
      <c r="E399" s="0" t="n">
        <f aca="false">(1-D399)^constant!$B$1</f>
        <v>0.998934106775679</v>
      </c>
      <c r="F399" s="0" t="n">
        <f aca="false">IF(A399=0,1,F398*E399)</f>
        <v>0.89705270314587</v>
      </c>
      <c r="G399" s="5" t="b">
        <f aca="false">B399&gt;=calc_cohort!C$2</f>
        <v>1</v>
      </c>
      <c r="H399" s="0" t="n">
        <f aca="false">IF(G399,1,0)</f>
        <v>1</v>
      </c>
      <c r="I399" s="0" t="n">
        <f aca="false">calc_cohort!$B$2*constant!$B$1*F399*H399</f>
        <v>0.92246919640167</v>
      </c>
      <c r="J399" s="0" t="n">
        <f aca="false">INDEX(table_spot_rate!B$1:B$2000,MATCH(A399,table_spot_rate!A$1:A$2000,0))</f>
        <v>0.0533530831103078</v>
      </c>
      <c r="K399" s="0" t="n">
        <f aca="false">(1+J399)^(-A399*constant!$B$1)</f>
        <v>0.17913390814289</v>
      </c>
      <c r="L399" s="0" t="n">
        <f aca="false">K399*I399</f>
        <v>0.165245512292862</v>
      </c>
    </row>
    <row r="400" customFormat="false" ht="12.8" hidden="false" customHeight="false" outlineLevel="0" collapsed="false">
      <c r="A400" s="0" t="n">
        <v>398</v>
      </c>
      <c r="B400" s="0" t="n">
        <f aca="false">calc_cohort!D$2+constant!$B$1*A400</f>
        <v>64.3666666666667</v>
      </c>
      <c r="C400" s="0" t="n">
        <f aca="false">_xlfn.FLOOR.MATH(B400)</f>
        <v>64</v>
      </c>
      <c r="D400" s="4" t="n">
        <f aca="false">INDEX(table_mortality_rate!$A$1:$C$2000,MATCH(C400,table_mortality_rate!$A$1:$A$2000,0),MATCH(calc_cohort!$E$2,table_mortality_rate!A$1:C$1,0))</f>
        <v>0.012716</v>
      </c>
      <c r="E400" s="0" t="n">
        <f aca="false">(1-D400)^constant!$B$1</f>
        <v>0.998934106775679</v>
      </c>
      <c r="F400" s="0" t="n">
        <f aca="false">IF(A400=0,1,F399*E400)</f>
        <v>0.896096540747728</v>
      </c>
      <c r="G400" s="5" t="b">
        <f aca="false">B400&gt;=calc_cohort!C$2</f>
        <v>1</v>
      </c>
      <c r="H400" s="0" t="n">
        <f aca="false">IF(G400,1,0)</f>
        <v>1</v>
      </c>
      <c r="I400" s="0" t="n">
        <f aca="false">calc_cohort!$B$2*constant!$B$1*F400*H400</f>
        <v>0.921485942735581</v>
      </c>
      <c r="J400" s="0" t="n">
        <f aca="false">INDEX(table_spot_rate!B$1:B$2000,MATCH(A400,table_spot_rate!A$1:A$2000,0))</f>
        <v>0.0556793269007832</v>
      </c>
      <c r="K400" s="0" t="n">
        <f aca="false">(1+J400)^(-A400*constant!$B$1)</f>
        <v>0.165775916456539</v>
      </c>
      <c r="L400" s="0" t="n">
        <f aca="false">K400*I400</f>
        <v>0.152760176658809</v>
      </c>
    </row>
    <row r="401" customFormat="false" ht="12.8" hidden="false" customHeight="false" outlineLevel="0" collapsed="false">
      <c r="A401" s="0" t="n">
        <v>399</v>
      </c>
      <c r="B401" s="0" t="n">
        <f aca="false">calc_cohort!D$2+constant!$B$1*A401</f>
        <v>64.45</v>
      </c>
      <c r="C401" s="0" t="n">
        <f aca="false">_xlfn.FLOOR.MATH(B401)</f>
        <v>64</v>
      </c>
      <c r="D401" s="4" t="n">
        <f aca="false">INDEX(table_mortality_rate!$A$1:$C$2000,MATCH(C401,table_mortality_rate!$A$1:$A$2000,0),MATCH(calc_cohort!$E$2,table_mortality_rate!A$1:C$1,0))</f>
        <v>0.012716</v>
      </c>
      <c r="E401" s="0" t="n">
        <f aca="false">(1-D401)^constant!$B$1</f>
        <v>0.998934106775679</v>
      </c>
      <c r="F401" s="0" t="n">
        <f aca="false">IF(A401=0,1,F400*E401)</f>
        <v>0.895141397516608</v>
      </c>
      <c r="G401" s="5" t="b">
        <f aca="false">B401&gt;=calc_cohort!C$2</f>
        <v>1</v>
      </c>
      <c r="H401" s="0" t="n">
        <f aca="false">IF(G401,1,0)</f>
        <v>1</v>
      </c>
      <c r="I401" s="0" t="n">
        <f aca="false">calc_cohort!$B$2*constant!$B$1*F401*H401</f>
        <v>0.920503737112912</v>
      </c>
      <c r="J401" s="0" t="n">
        <f aca="false">INDEX(table_spot_rate!B$1:B$2000,MATCH(A401,table_spot_rate!A$1:A$2000,0))</f>
        <v>0.0550732189356155</v>
      </c>
      <c r="K401" s="0" t="n">
        <f aca="false">(1+J401)^(-A401*constant!$B$1)</f>
        <v>0.168210681065161</v>
      </c>
      <c r="L401" s="0" t="n">
        <f aca="false">K401*I401</f>
        <v>0.154838560542789</v>
      </c>
    </row>
    <row r="402" customFormat="false" ht="12.8" hidden="false" customHeight="false" outlineLevel="0" collapsed="false">
      <c r="A402" s="0" t="n">
        <v>400</v>
      </c>
      <c r="B402" s="0" t="n">
        <f aca="false">calc_cohort!D$2+constant!$B$1*A402</f>
        <v>64.5333333333333</v>
      </c>
      <c r="C402" s="0" t="n">
        <f aca="false">_xlfn.FLOOR.MATH(B402)</f>
        <v>64</v>
      </c>
      <c r="D402" s="4" t="n">
        <f aca="false">INDEX(table_mortality_rate!$A$1:$C$2000,MATCH(C402,table_mortality_rate!$A$1:$A$2000,0),MATCH(calc_cohort!$E$2,table_mortality_rate!A$1:C$1,0))</f>
        <v>0.012716</v>
      </c>
      <c r="E402" s="0" t="n">
        <f aca="false">(1-D402)^constant!$B$1</f>
        <v>0.998934106775679</v>
      </c>
      <c r="F402" s="0" t="n">
        <f aca="false">IF(A402=0,1,F401*E402)</f>
        <v>0.894187272366186</v>
      </c>
      <c r="G402" s="5" t="b">
        <f aca="false">B402&gt;=calc_cohort!C$2</f>
        <v>1</v>
      </c>
      <c r="H402" s="0" t="n">
        <f aca="false">IF(G402,1,0)</f>
        <v>1</v>
      </c>
      <c r="I402" s="0" t="n">
        <f aca="false">calc_cohort!$B$2*constant!$B$1*F402*H402</f>
        <v>0.919522578416561</v>
      </c>
      <c r="J402" s="0" t="n">
        <f aca="false">INDEX(table_spot_rate!B$1:B$2000,MATCH(A402,table_spot_rate!A$1:A$2000,0))</f>
        <v>0.0525024313208113</v>
      </c>
      <c r="K402" s="0" t="n">
        <f aca="false">(1+J402)^(-A402*constant!$B$1)</f>
        <v>0.181647632475251</v>
      </c>
      <c r="L402" s="0" t="n">
        <f aca="false">K402*I402</f>
        <v>0.167029099376907</v>
      </c>
    </row>
    <row r="403" customFormat="false" ht="12.8" hidden="false" customHeight="false" outlineLevel="0" collapsed="false">
      <c r="A403" s="0" t="n">
        <v>401</v>
      </c>
      <c r="B403" s="0" t="n">
        <f aca="false">calc_cohort!D$2+constant!$B$1*A403</f>
        <v>64.6166666666667</v>
      </c>
      <c r="C403" s="0" t="n">
        <f aca="false">_xlfn.FLOOR.MATH(B403)</f>
        <v>64</v>
      </c>
      <c r="D403" s="4" t="n">
        <f aca="false">INDEX(table_mortality_rate!$A$1:$C$2000,MATCH(C403,table_mortality_rate!$A$1:$A$2000,0),MATCH(calc_cohort!$E$2,table_mortality_rate!A$1:C$1,0))</f>
        <v>0.012716</v>
      </c>
      <c r="E403" s="0" t="n">
        <f aca="false">(1-D403)^constant!$B$1</f>
        <v>0.998934106775679</v>
      </c>
      <c r="F403" s="0" t="n">
        <f aca="false">IF(A403=0,1,F402*E403)</f>
        <v>0.893234164211297</v>
      </c>
      <c r="G403" s="5" t="b">
        <f aca="false">B403&gt;=calc_cohort!C$2</f>
        <v>1</v>
      </c>
      <c r="H403" s="0" t="n">
        <f aca="false">IF(G403,1,0)</f>
        <v>1</v>
      </c>
      <c r="I403" s="0" t="n">
        <f aca="false">calc_cohort!$B$2*constant!$B$1*F403*H403</f>
        <v>0.918542465530617</v>
      </c>
      <c r="J403" s="0" t="n">
        <f aca="false">INDEX(table_spot_rate!B$1:B$2000,MATCH(A403,table_spot_rate!A$1:A$2000,0))</f>
        <v>0.051958208085194</v>
      </c>
      <c r="K403" s="0" t="n">
        <f aca="false">(1+J403)^(-A403*constant!$B$1)</f>
        <v>0.184027999576965</v>
      </c>
      <c r="L403" s="0" t="n">
        <f aca="false">K403*I403</f>
        <v>0.169037532458093</v>
      </c>
    </row>
    <row r="404" customFormat="false" ht="12.8" hidden="false" customHeight="false" outlineLevel="0" collapsed="false">
      <c r="A404" s="0" t="n">
        <v>402</v>
      </c>
      <c r="B404" s="0" t="n">
        <f aca="false">calc_cohort!D$2+constant!$B$1*A404</f>
        <v>64.7</v>
      </c>
      <c r="C404" s="0" t="n">
        <f aca="false">_xlfn.FLOOR.MATH(B404)</f>
        <v>64</v>
      </c>
      <c r="D404" s="4" t="n">
        <f aca="false">INDEX(table_mortality_rate!$A$1:$C$2000,MATCH(C404,table_mortality_rate!$A$1:$A$2000,0),MATCH(calc_cohort!$E$2,table_mortality_rate!A$1:C$1,0))</f>
        <v>0.012716</v>
      </c>
      <c r="E404" s="0" t="n">
        <f aca="false">(1-D404)^constant!$B$1</f>
        <v>0.998934106775679</v>
      </c>
      <c r="F404" s="0" t="n">
        <f aca="false">IF(A404=0,1,F403*E404)</f>
        <v>0.892282071967933</v>
      </c>
      <c r="G404" s="5" t="b">
        <f aca="false">B404&gt;=calc_cohort!C$2</f>
        <v>1</v>
      </c>
      <c r="H404" s="0" t="n">
        <f aca="false">IF(G404,1,0)</f>
        <v>1</v>
      </c>
      <c r="I404" s="0" t="n">
        <f aca="false">calc_cohort!$B$2*constant!$B$1*F404*H404</f>
        <v>0.917563397340357</v>
      </c>
      <c r="J404" s="0" t="n">
        <f aca="false">INDEX(table_spot_rate!B$1:B$2000,MATCH(A404,table_spot_rate!A$1:A$2000,0))</f>
        <v>0.0531964143846826</v>
      </c>
      <c r="K404" s="0" t="n">
        <f aca="false">(1+J404)^(-A404*constant!$B$1)</f>
        <v>0.17617165819327</v>
      </c>
      <c r="L404" s="0" t="n">
        <f aca="false">K404*I404</f>
        <v>0.161648665206901</v>
      </c>
    </row>
    <row r="405" customFormat="false" ht="12.8" hidden="false" customHeight="false" outlineLevel="0" collapsed="false">
      <c r="A405" s="0" t="n">
        <v>403</v>
      </c>
      <c r="B405" s="0" t="n">
        <f aca="false">calc_cohort!D$2+constant!$B$1*A405</f>
        <v>64.7833333333333</v>
      </c>
      <c r="C405" s="0" t="n">
        <f aca="false">_xlfn.FLOOR.MATH(B405)</f>
        <v>64</v>
      </c>
      <c r="D405" s="4" t="n">
        <f aca="false">INDEX(table_mortality_rate!$A$1:$C$2000,MATCH(C405,table_mortality_rate!$A$1:$A$2000,0),MATCH(calc_cohort!$E$2,table_mortality_rate!A$1:C$1,0))</f>
        <v>0.012716</v>
      </c>
      <c r="E405" s="0" t="n">
        <f aca="false">(1-D405)^constant!$B$1</f>
        <v>0.998934106775679</v>
      </c>
      <c r="F405" s="0" t="n">
        <f aca="false">IF(A405=0,1,F404*E405)</f>
        <v>0.891330994553239</v>
      </c>
      <c r="G405" s="5" t="b">
        <f aca="false">B405&gt;=calc_cohort!C$2</f>
        <v>1</v>
      </c>
      <c r="H405" s="0" t="n">
        <f aca="false">IF(G405,1,0)</f>
        <v>1</v>
      </c>
      <c r="I405" s="0" t="n">
        <f aca="false">calc_cohort!$B$2*constant!$B$1*F405*H405</f>
        <v>0.916585372732248</v>
      </c>
      <c r="J405" s="0" t="n">
        <f aca="false">INDEX(table_spot_rate!B$1:B$2000,MATCH(A405,table_spot_rate!A$1:A$2000,0))</f>
        <v>0.0519497351810477</v>
      </c>
      <c r="K405" s="0" t="n">
        <f aca="false">(1+J405)^(-A405*constant!$B$1)</f>
        <v>0.182530299059898</v>
      </c>
      <c r="L405" s="0" t="n">
        <f aca="false">K405*I405</f>
        <v>0.167304602198745</v>
      </c>
    </row>
    <row r="406" customFormat="false" ht="12.8" hidden="false" customHeight="false" outlineLevel="0" collapsed="false">
      <c r="A406" s="0" t="n">
        <v>404</v>
      </c>
      <c r="B406" s="0" t="n">
        <f aca="false">calc_cohort!D$2+constant!$B$1*A406</f>
        <v>64.8666666666667</v>
      </c>
      <c r="C406" s="0" t="n">
        <f aca="false">_xlfn.FLOOR.MATH(B406)</f>
        <v>64</v>
      </c>
      <c r="D406" s="4" t="n">
        <f aca="false">INDEX(table_mortality_rate!$A$1:$C$2000,MATCH(C406,table_mortality_rate!$A$1:$A$2000,0),MATCH(calc_cohort!$E$2,table_mortality_rate!A$1:C$1,0))</f>
        <v>0.012716</v>
      </c>
      <c r="E406" s="0" t="n">
        <f aca="false">(1-D406)^constant!$B$1</f>
        <v>0.998934106775679</v>
      </c>
      <c r="F406" s="0" t="n">
        <f aca="false">IF(A406=0,1,F405*E406)</f>
        <v>0.890380930885518</v>
      </c>
      <c r="G406" s="5" t="b">
        <f aca="false">B406&gt;=calc_cohort!C$2</f>
        <v>1</v>
      </c>
      <c r="H406" s="0" t="n">
        <f aca="false">IF(G406,1,0)</f>
        <v>1</v>
      </c>
      <c r="I406" s="0" t="n">
        <f aca="false">calc_cohort!$B$2*constant!$B$1*F406*H406</f>
        <v>0.915608390593941</v>
      </c>
      <c r="J406" s="0" t="n">
        <f aca="false">INDEX(table_spot_rate!B$1:B$2000,MATCH(A406,table_spot_rate!A$1:A$2000,0))</f>
        <v>0.0544135136963044</v>
      </c>
      <c r="K406" s="0" t="n">
        <f aca="false">(1+J406)^(-A406*constant!$B$1)</f>
        <v>0.167995468608033</v>
      </c>
      <c r="L406" s="0" t="n">
        <f aca="false">K406*I406</f>
        <v>0.153818060639276</v>
      </c>
    </row>
    <row r="407" customFormat="false" ht="12.8" hidden="false" customHeight="false" outlineLevel="0" collapsed="false">
      <c r="A407" s="0" t="n">
        <v>405</v>
      </c>
      <c r="B407" s="0" t="n">
        <f aca="false">calc_cohort!D$2+constant!$B$1*A407</f>
        <v>64.95</v>
      </c>
      <c r="C407" s="0" t="n">
        <f aca="false">_xlfn.FLOOR.MATH(B407)</f>
        <v>64</v>
      </c>
      <c r="D407" s="4" t="n">
        <f aca="false">INDEX(table_mortality_rate!$A$1:$C$2000,MATCH(C407,table_mortality_rate!$A$1:$A$2000,0),MATCH(calc_cohort!$E$2,table_mortality_rate!A$1:C$1,0))</f>
        <v>0.012716</v>
      </c>
      <c r="E407" s="0" t="n">
        <f aca="false">(1-D407)^constant!$B$1</f>
        <v>0.998934106775679</v>
      </c>
      <c r="F407" s="0" t="n">
        <f aca="false">IF(A407=0,1,F406*E407)</f>
        <v>0.889431879884223</v>
      </c>
      <c r="G407" s="5" t="b">
        <f aca="false">B407&gt;=calc_cohort!C$2</f>
        <v>1</v>
      </c>
      <c r="H407" s="0" t="n">
        <f aca="false">IF(G407,1,0)</f>
        <v>1</v>
      </c>
      <c r="I407" s="0" t="n">
        <f aca="false">calc_cohort!$B$2*constant!$B$1*F407*H407</f>
        <v>0.914632449814276</v>
      </c>
      <c r="J407" s="0" t="n">
        <f aca="false">INDEX(table_spot_rate!B$1:B$2000,MATCH(A407,table_spot_rate!A$1:A$2000,0))</f>
        <v>0.0527151029048302</v>
      </c>
      <c r="K407" s="0" t="n">
        <f aca="false">(1+J407)^(-A407*constant!$B$1)</f>
        <v>0.176607315733561</v>
      </c>
      <c r="L407" s="0" t="n">
        <f aca="false">K407*I407</f>
        <v>0.16153078184451</v>
      </c>
    </row>
    <row r="408" customFormat="false" ht="12.8" hidden="false" customHeight="false" outlineLevel="0" collapsed="false">
      <c r="A408" s="0" t="n">
        <v>406</v>
      </c>
      <c r="B408" s="0" t="n">
        <f aca="false">calc_cohort!D$2+constant!$B$1*A408</f>
        <v>65.0333333333333</v>
      </c>
      <c r="C408" s="0" t="n">
        <f aca="false">_xlfn.FLOOR.MATH(B408)</f>
        <v>65</v>
      </c>
      <c r="D408" s="4" t="n">
        <f aca="false">INDEX(table_mortality_rate!$A$1:$C$2000,MATCH(C408,table_mortality_rate!$A$1:$A$2000,0),MATCH(calc_cohort!$E$2,table_mortality_rate!A$1:C$1,0))</f>
        <v>0.014243</v>
      </c>
      <c r="E408" s="0" t="n">
        <f aca="false">(1-D408)^constant!$B$1</f>
        <v>0.998805263844734</v>
      </c>
      <c r="F408" s="0" t="n">
        <f aca="false">IF(A408=0,1,F407*E408)</f>
        <v>0.888369243459679</v>
      </c>
      <c r="G408" s="5" t="b">
        <f aca="false">B408&gt;=calc_cohort!C$2</f>
        <v>1</v>
      </c>
      <c r="H408" s="0" t="n">
        <f aca="false">IF(G408,1,0)</f>
        <v>1</v>
      </c>
      <c r="I408" s="0" t="n">
        <f aca="false">calc_cohort!$B$2*constant!$B$1*F408*H408</f>
        <v>0.913539705357703</v>
      </c>
      <c r="J408" s="0" t="n">
        <f aca="false">INDEX(table_spot_rate!B$1:B$2000,MATCH(A408,table_spot_rate!A$1:A$2000,0))</f>
        <v>0.0574591241781174</v>
      </c>
      <c r="K408" s="0" t="n">
        <f aca="false">(1+J408)^(-A408*constant!$B$1)</f>
        <v>0.1510364994207</v>
      </c>
      <c r="L408" s="0" t="n">
        <f aca="false">K408*I408</f>
        <v>0.137977839179045</v>
      </c>
    </row>
    <row r="409" customFormat="false" ht="12.8" hidden="false" customHeight="false" outlineLevel="0" collapsed="false">
      <c r="A409" s="0" t="n">
        <v>407</v>
      </c>
      <c r="B409" s="0" t="n">
        <f aca="false">calc_cohort!D$2+constant!$B$1*A409</f>
        <v>65.1166666666667</v>
      </c>
      <c r="C409" s="0" t="n">
        <f aca="false">_xlfn.FLOOR.MATH(B409)</f>
        <v>65</v>
      </c>
      <c r="D409" s="4" t="n">
        <f aca="false">INDEX(table_mortality_rate!$A$1:$C$2000,MATCH(C409,table_mortality_rate!$A$1:$A$2000,0),MATCH(calc_cohort!$E$2,table_mortality_rate!A$1:C$1,0))</f>
        <v>0.014243</v>
      </c>
      <c r="E409" s="0" t="n">
        <f aca="false">(1-D409)^constant!$B$1</f>
        <v>0.998805263844734</v>
      </c>
      <c r="F409" s="0" t="n">
        <f aca="false">IF(A409=0,1,F408*E409)</f>
        <v>0.887307876605292</v>
      </c>
      <c r="G409" s="5" t="b">
        <f aca="false">B409&gt;=calc_cohort!C$2</f>
        <v>1</v>
      </c>
      <c r="H409" s="0" t="n">
        <f aca="false">IF(G409,1,0)</f>
        <v>1</v>
      </c>
      <c r="I409" s="0" t="n">
        <f aca="false">calc_cohort!$B$2*constant!$B$1*F409*H409</f>
        <v>0.912448266442442</v>
      </c>
      <c r="J409" s="0" t="n">
        <f aca="false">INDEX(table_spot_rate!B$1:B$2000,MATCH(A409,table_spot_rate!A$1:A$2000,0))</f>
        <v>0.0591478072508842</v>
      </c>
      <c r="K409" s="0" t="n">
        <f aca="false">(1+J409)^(-A409*constant!$B$1)</f>
        <v>0.142415180799191</v>
      </c>
      <c r="L409" s="0" t="n">
        <f aca="false">K409*I409</f>
        <v>0.129946484835309</v>
      </c>
    </row>
    <row r="410" customFormat="false" ht="12.8" hidden="false" customHeight="false" outlineLevel="0" collapsed="false">
      <c r="A410" s="0" t="n">
        <v>408</v>
      </c>
      <c r="B410" s="0" t="n">
        <f aca="false">calc_cohort!D$2+constant!$B$1*A410</f>
        <v>65.2</v>
      </c>
      <c r="C410" s="0" t="n">
        <f aca="false">_xlfn.FLOOR.MATH(B410)</f>
        <v>65</v>
      </c>
      <c r="D410" s="4" t="n">
        <f aca="false">INDEX(table_mortality_rate!$A$1:$C$2000,MATCH(C410,table_mortality_rate!$A$1:$A$2000,0),MATCH(calc_cohort!$E$2,table_mortality_rate!A$1:C$1,0))</f>
        <v>0.014243</v>
      </c>
      <c r="E410" s="0" t="n">
        <f aca="false">(1-D410)^constant!$B$1</f>
        <v>0.998805263844734</v>
      </c>
      <c r="F410" s="0" t="n">
        <f aca="false">IF(A410=0,1,F409*E410)</f>
        <v>0.88624777780426</v>
      </c>
      <c r="G410" s="5" t="b">
        <f aca="false">B410&gt;=calc_cohort!C$2</f>
        <v>1</v>
      </c>
      <c r="H410" s="0" t="n">
        <f aca="false">IF(G410,1,0)</f>
        <v>1</v>
      </c>
      <c r="I410" s="0" t="n">
        <f aca="false">calc_cohort!$B$2*constant!$B$1*F410*H410</f>
        <v>0.911358131508714</v>
      </c>
      <c r="J410" s="0" t="n">
        <f aca="false">INDEX(table_spot_rate!B$1:B$2000,MATCH(A410,table_spot_rate!A$1:A$2000,0))</f>
        <v>0.0516242198865556</v>
      </c>
      <c r="K410" s="0" t="n">
        <f aca="false">(1+J410)^(-A410*constant!$B$1)</f>
        <v>0.180609374389342</v>
      </c>
      <c r="L410" s="0" t="n">
        <f aca="false">K410*I410</f>
        <v>0.164599821976429</v>
      </c>
    </row>
    <row r="411" customFormat="false" ht="12.8" hidden="false" customHeight="false" outlineLevel="0" collapsed="false">
      <c r="A411" s="0" t="n">
        <v>409</v>
      </c>
      <c r="B411" s="0" t="n">
        <f aca="false">calc_cohort!D$2+constant!$B$1*A411</f>
        <v>65.2833333333333</v>
      </c>
      <c r="C411" s="0" t="n">
        <f aca="false">_xlfn.FLOOR.MATH(B411)</f>
        <v>65</v>
      </c>
      <c r="D411" s="4" t="n">
        <f aca="false">INDEX(table_mortality_rate!$A$1:$C$2000,MATCH(C411,table_mortality_rate!$A$1:$A$2000,0),MATCH(calc_cohort!$E$2,table_mortality_rate!A$1:C$1,0))</f>
        <v>0.014243</v>
      </c>
      <c r="E411" s="0" t="n">
        <f aca="false">(1-D411)^constant!$B$1</f>
        <v>0.998805263844734</v>
      </c>
      <c r="F411" s="0" t="n">
        <f aca="false">IF(A411=0,1,F410*E411)</f>
        <v>0.885188945541593</v>
      </c>
      <c r="G411" s="5" t="b">
        <f aca="false">B411&gt;=calc_cohort!C$2</f>
        <v>1</v>
      </c>
      <c r="H411" s="0" t="n">
        <f aca="false">IF(G411,1,0)</f>
        <v>1</v>
      </c>
      <c r="I411" s="0" t="n">
        <f aca="false">calc_cohort!$B$2*constant!$B$1*F411*H411</f>
        <v>0.910269298998605</v>
      </c>
      <c r="J411" s="0" t="n">
        <f aca="false">INDEX(table_spot_rate!B$1:B$2000,MATCH(A411,table_spot_rate!A$1:A$2000,0))</f>
        <v>0.0573691704289717</v>
      </c>
      <c r="K411" s="0" t="n">
        <f aca="false">(1+J411)^(-A411*constant!$B$1)</f>
        <v>0.14937407572978</v>
      </c>
      <c r="L411" s="0" t="n">
        <f aca="false">K411*I411</f>
        <v>0.135970635203111</v>
      </c>
    </row>
    <row r="412" customFormat="false" ht="12.8" hidden="false" customHeight="false" outlineLevel="0" collapsed="false">
      <c r="A412" s="0" t="n">
        <v>410</v>
      </c>
      <c r="B412" s="0" t="n">
        <f aca="false">calc_cohort!D$2+constant!$B$1*A412</f>
        <v>65.3666666666667</v>
      </c>
      <c r="C412" s="0" t="n">
        <f aca="false">_xlfn.FLOOR.MATH(B412)</f>
        <v>65</v>
      </c>
      <c r="D412" s="4" t="n">
        <f aca="false">INDEX(table_mortality_rate!$A$1:$C$2000,MATCH(C412,table_mortality_rate!$A$1:$A$2000,0),MATCH(calc_cohort!$E$2,table_mortality_rate!A$1:C$1,0))</f>
        <v>0.014243</v>
      </c>
      <c r="E412" s="0" t="n">
        <f aca="false">(1-D412)^constant!$B$1</f>
        <v>0.998805263844734</v>
      </c>
      <c r="F412" s="0" t="n">
        <f aca="false">IF(A412=0,1,F411*E412)</f>
        <v>0.884131378304113</v>
      </c>
      <c r="G412" s="5" t="b">
        <f aca="false">B412&gt;=calc_cohort!C$2</f>
        <v>1</v>
      </c>
      <c r="H412" s="0" t="n">
        <f aca="false">IF(G412,1,0)</f>
        <v>1</v>
      </c>
      <c r="I412" s="0" t="n">
        <f aca="false">calc_cohort!$B$2*constant!$B$1*F412*H412</f>
        <v>0.909181767356063</v>
      </c>
      <c r="J412" s="0" t="n">
        <f aca="false">INDEX(table_spot_rate!B$1:B$2000,MATCH(A412,table_spot_rate!A$1:A$2000,0))</f>
        <v>0.0539505523847993</v>
      </c>
      <c r="K412" s="0" t="n">
        <f aca="false">(1+J412)^(-A412*constant!$B$1)</f>
        <v>0.166076663088162</v>
      </c>
      <c r="L412" s="0" t="n">
        <f aca="false">K412*I412</f>
        <v>0.150993874063093</v>
      </c>
    </row>
    <row r="413" customFormat="false" ht="12.8" hidden="false" customHeight="false" outlineLevel="0" collapsed="false">
      <c r="A413" s="0" t="n">
        <v>411</v>
      </c>
      <c r="B413" s="0" t="n">
        <f aca="false">calc_cohort!D$2+constant!$B$1*A413</f>
        <v>65.45</v>
      </c>
      <c r="C413" s="0" t="n">
        <f aca="false">_xlfn.FLOOR.MATH(B413)</f>
        <v>65</v>
      </c>
      <c r="D413" s="4" t="n">
        <f aca="false">INDEX(table_mortality_rate!$A$1:$C$2000,MATCH(C413,table_mortality_rate!$A$1:$A$2000,0),MATCH(calc_cohort!$E$2,table_mortality_rate!A$1:C$1,0))</f>
        <v>0.014243</v>
      </c>
      <c r="E413" s="0" t="n">
        <f aca="false">(1-D413)^constant!$B$1</f>
        <v>0.998805263844734</v>
      </c>
      <c r="F413" s="0" t="n">
        <f aca="false">IF(A413=0,1,F412*E413)</f>
        <v>0.883075074580449</v>
      </c>
      <c r="G413" s="5" t="b">
        <f aca="false">B413&gt;=calc_cohort!C$2</f>
        <v>1</v>
      </c>
      <c r="H413" s="0" t="n">
        <f aca="false">IF(G413,1,0)</f>
        <v>1</v>
      </c>
      <c r="I413" s="0" t="n">
        <f aca="false">calc_cohort!$B$2*constant!$B$1*F413*H413</f>
        <v>0.908095535026895</v>
      </c>
      <c r="J413" s="0" t="n">
        <f aca="false">INDEX(table_spot_rate!B$1:B$2000,MATCH(A413,table_spot_rate!A$1:A$2000,0))</f>
        <v>0.0529347867434517</v>
      </c>
      <c r="K413" s="0" t="n">
        <f aca="false">(1+J413)^(-A413*constant!$B$1)</f>
        <v>0.170902931478444</v>
      </c>
      <c r="L413" s="0" t="n">
        <f aca="false">K413*I413</f>
        <v>0.155196188998583</v>
      </c>
    </row>
    <row r="414" customFormat="false" ht="12.8" hidden="false" customHeight="false" outlineLevel="0" collapsed="false">
      <c r="A414" s="0" t="n">
        <v>412</v>
      </c>
      <c r="B414" s="0" t="n">
        <f aca="false">calc_cohort!D$2+constant!$B$1*A414</f>
        <v>65.5333333333333</v>
      </c>
      <c r="C414" s="0" t="n">
        <f aca="false">_xlfn.FLOOR.MATH(B414)</f>
        <v>65</v>
      </c>
      <c r="D414" s="4" t="n">
        <f aca="false">INDEX(table_mortality_rate!$A$1:$C$2000,MATCH(C414,table_mortality_rate!$A$1:$A$2000,0),MATCH(calc_cohort!$E$2,table_mortality_rate!A$1:C$1,0))</f>
        <v>0.014243</v>
      </c>
      <c r="E414" s="0" t="n">
        <f aca="false">(1-D414)^constant!$B$1</f>
        <v>0.998805263844734</v>
      </c>
      <c r="F414" s="0" t="n">
        <f aca="false">IF(A414=0,1,F413*E414)</f>
        <v>0.882020032861034</v>
      </c>
      <c r="G414" s="5" t="b">
        <f aca="false">B414&gt;=calc_cohort!C$2</f>
        <v>1</v>
      </c>
      <c r="H414" s="0" t="n">
        <f aca="false">IF(G414,1,0)</f>
        <v>1</v>
      </c>
      <c r="I414" s="0" t="n">
        <f aca="false">calc_cohort!$B$2*constant!$B$1*F414*H414</f>
        <v>0.907010600458763</v>
      </c>
      <c r="J414" s="0" t="n">
        <f aca="false">INDEX(table_spot_rate!B$1:B$2000,MATCH(A414,table_spot_rate!A$1:A$2000,0))</f>
        <v>0.0502540618989177</v>
      </c>
      <c r="K414" s="0" t="n">
        <f aca="false">(1+J414)^(-A414*constant!$B$1)</f>
        <v>0.185734808060141</v>
      </c>
      <c r="L414" s="0" t="n">
        <f aca="false">K414*I414</f>
        <v>0.168463439784722</v>
      </c>
    </row>
    <row r="415" customFormat="false" ht="12.8" hidden="false" customHeight="false" outlineLevel="0" collapsed="false">
      <c r="A415" s="0" t="n">
        <v>413</v>
      </c>
      <c r="B415" s="0" t="n">
        <f aca="false">calc_cohort!D$2+constant!$B$1*A415</f>
        <v>65.6166666666667</v>
      </c>
      <c r="C415" s="0" t="n">
        <f aca="false">_xlfn.FLOOR.MATH(B415)</f>
        <v>65</v>
      </c>
      <c r="D415" s="4" t="n">
        <f aca="false">INDEX(table_mortality_rate!$A$1:$C$2000,MATCH(C415,table_mortality_rate!$A$1:$A$2000,0),MATCH(calc_cohort!$E$2,table_mortality_rate!A$1:C$1,0))</f>
        <v>0.014243</v>
      </c>
      <c r="E415" s="0" t="n">
        <f aca="false">(1-D415)^constant!$B$1</f>
        <v>0.998805263844734</v>
      </c>
      <c r="F415" s="0" t="n">
        <f aca="false">IF(A415=0,1,F414*E415)</f>
        <v>0.880966251638106</v>
      </c>
      <c r="G415" s="5" t="b">
        <f aca="false">B415&gt;=calc_cohort!C$2</f>
        <v>1</v>
      </c>
      <c r="H415" s="0" t="n">
        <f aca="false">IF(G415,1,0)</f>
        <v>1</v>
      </c>
      <c r="I415" s="0" t="n">
        <f aca="false">calc_cohort!$B$2*constant!$B$1*F415*H415</f>
        <v>0.905926962101186</v>
      </c>
      <c r="J415" s="0" t="n">
        <f aca="false">INDEX(table_spot_rate!B$1:B$2000,MATCH(A415,table_spot_rate!A$1:A$2000,0))</f>
        <v>0.0591131874820433</v>
      </c>
      <c r="K415" s="0" t="n">
        <f aca="false">(1+J415)^(-A415*constant!$B$1)</f>
        <v>0.138537252692769</v>
      </c>
      <c r="L415" s="0" t="n">
        <f aca="false">K415*I415</f>
        <v>0.125504632469804</v>
      </c>
    </row>
    <row r="416" customFormat="false" ht="12.8" hidden="false" customHeight="false" outlineLevel="0" collapsed="false">
      <c r="A416" s="0" t="n">
        <v>414</v>
      </c>
      <c r="B416" s="0" t="n">
        <f aca="false">calc_cohort!D$2+constant!$B$1*A416</f>
        <v>65.7</v>
      </c>
      <c r="C416" s="0" t="n">
        <f aca="false">_xlfn.FLOOR.MATH(B416)</f>
        <v>65</v>
      </c>
      <c r="D416" s="4" t="n">
        <f aca="false">INDEX(table_mortality_rate!$A$1:$C$2000,MATCH(C416,table_mortality_rate!$A$1:$A$2000,0),MATCH(calc_cohort!$E$2,table_mortality_rate!A$1:C$1,0))</f>
        <v>0.014243</v>
      </c>
      <c r="E416" s="0" t="n">
        <f aca="false">(1-D416)^constant!$B$1</f>
        <v>0.998805263844734</v>
      </c>
      <c r="F416" s="0" t="n">
        <f aca="false">IF(A416=0,1,F415*E416)</f>
        <v>0.879913729405705</v>
      </c>
      <c r="G416" s="5" t="b">
        <f aca="false">B416&gt;=calc_cohort!C$2</f>
        <v>1</v>
      </c>
      <c r="H416" s="0" t="n">
        <f aca="false">IF(G416,1,0)</f>
        <v>1</v>
      </c>
      <c r="I416" s="0" t="n">
        <f aca="false">calc_cohort!$B$2*constant!$B$1*F416*H416</f>
        <v>0.904844618405533</v>
      </c>
      <c r="J416" s="0" t="n">
        <f aca="false">INDEX(table_spot_rate!B$1:B$2000,MATCH(A416,table_spot_rate!A$1:A$2000,0))</f>
        <v>0.0580468072553626</v>
      </c>
      <c r="K416" s="0" t="n">
        <f aca="false">(1+J416)^(-A416*constant!$B$1)</f>
        <v>0.142751803960009</v>
      </c>
      <c r="L416" s="0" t="n">
        <f aca="false">K416*I416</f>
        <v>0.129168201580896</v>
      </c>
    </row>
    <row r="417" customFormat="false" ht="12.8" hidden="false" customHeight="false" outlineLevel="0" collapsed="false">
      <c r="A417" s="0" t="n">
        <v>415</v>
      </c>
      <c r="B417" s="0" t="n">
        <f aca="false">calc_cohort!D$2+constant!$B$1*A417</f>
        <v>65.7833333333333</v>
      </c>
      <c r="C417" s="0" t="n">
        <f aca="false">_xlfn.FLOOR.MATH(B417)</f>
        <v>65</v>
      </c>
      <c r="D417" s="4" t="n">
        <f aca="false">INDEX(table_mortality_rate!$A$1:$C$2000,MATCH(C417,table_mortality_rate!$A$1:$A$2000,0),MATCH(calc_cohort!$E$2,table_mortality_rate!A$1:C$1,0))</f>
        <v>0.014243</v>
      </c>
      <c r="E417" s="0" t="n">
        <f aca="false">(1-D417)^constant!$B$1</f>
        <v>0.998805263844734</v>
      </c>
      <c r="F417" s="0" t="n">
        <f aca="false">IF(A417=0,1,F416*E417)</f>
        <v>0.87886246465967</v>
      </c>
      <c r="G417" s="5" t="b">
        <f aca="false">B417&gt;=calc_cohort!C$2</f>
        <v>1</v>
      </c>
      <c r="H417" s="0" t="n">
        <f aca="false">IF(G417,1,0)</f>
        <v>1</v>
      </c>
      <c r="I417" s="0" t="n">
        <f aca="false">calc_cohort!$B$2*constant!$B$1*F417*H417</f>
        <v>0.903763567825027</v>
      </c>
      <c r="J417" s="0" t="n">
        <f aca="false">INDEX(table_spot_rate!B$1:B$2000,MATCH(A417,table_spot_rate!A$1:A$2000,0))</f>
        <v>0.0534417013056155</v>
      </c>
      <c r="K417" s="0" t="n">
        <f aca="false">(1+J417)^(-A417*constant!$B$1)</f>
        <v>0.165216465000723</v>
      </c>
      <c r="L417" s="0" t="n">
        <f aca="false">K417*I417</f>
        <v>0.149316621872492</v>
      </c>
    </row>
    <row r="418" customFormat="false" ht="12.8" hidden="false" customHeight="false" outlineLevel="0" collapsed="false">
      <c r="A418" s="0" t="n">
        <v>416</v>
      </c>
      <c r="B418" s="0" t="n">
        <f aca="false">calc_cohort!D$2+constant!$B$1*A418</f>
        <v>65.8666666666667</v>
      </c>
      <c r="C418" s="0" t="n">
        <f aca="false">_xlfn.FLOOR.MATH(B418)</f>
        <v>65</v>
      </c>
      <c r="D418" s="4" t="n">
        <f aca="false">INDEX(table_mortality_rate!$A$1:$C$2000,MATCH(C418,table_mortality_rate!$A$1:$A$2000,0),MATCH(calc_cohort!$E$2,table_mortality_rate!A$1:C$1,0))</f>
        <v>0.014243</v>
      </c>
      <c r="E418" s="0" t="n">
        <f aca="false">(1-D418)^constant!$B$1</f>
        <v>0.998805263844734</v>
      </c>
      <c r="F418" s="0" t="n">
        <f aca="false">IF(A418=0,1,F417*E418)</f>
        <v>0.877812455897635</v>
      </c>
      <c r="G418" s="5" t="b">
        <f aca="false">B418&gt;=calc_cohort!C$2</f>
        <v>1</v>
      </c>
      <c r="H418" s="0" t="n">
        <f aca="false">IF(G418,1,0)</f>
        <v>1</v>
      </c>
      <c r="I418" s="0" t="n">
        <f aca="false">calc_cohort!$B$2*constant!$B$1*F418*H418</f>
        <v>0.902683808814735</v>
      </c>
      <c r="J418" s="0" t="n">
        <f aca="false">INDEX(table_spot_rate!B$1:B$2000,MATCH(A418,table_spot_rate!A$1:A$2000,0))</f>
        <v>0.0558366644775396</v>
      </c>
      <c r="K418" s="0" t="n">
        <f aca="false">(1+J418)^(-A418*constant!$B$1)</f>
        <v>0.152047650510639</v>
      </c>
      <c r="L418" s="0" t="n">
        <f aca="false">K418*I418</f>
        <v>0.137250952284275</v>
      </c>
    </row>
    <row r="419" customFormat="false" ht="12.8" hidden="false" customHeight="false" outlineLevel="0" collapsed="false">
      <c r="A419" s="0" t="n">
        <v>417</v>
      </c>
      <c r="B419" s="0" t="n">
        <f aca="false">calc_cohort!D$2+constant!$B$1*A419</f>
        <v>65.95</v>
      </c>
      <c r="C419" s="0" t="n">
        <f aca="false">_xlfn.FLOOR.MATH(B419)</f>
        <v>65</v>
      </c>
      <c r="D419" s="4" t="n">
        <f aca="false">INDEX(table_mortality_rate!$A$1:$C$2000,MATCH(C419,table_mortality_rate!$A$1:$A$2000,0),MATCH(calc_cohort!$E$2,table_mortality_rate!A$1:C$1,0))</f>
        <v>0.014243</v>
      </c>
      <c r="E419" s="0" t="n">
        <f aca="false">(1-D419)^constant!$B$1</f>
        <v>0.998805263844734</v>
      </c>
      <c r="F419" s="0" t="n">
        <f aca="false">IF(A419=0,1,F418*E419)</f>
        <v>0.876763701619032</v>
      </c>
      <c r="G419" s="5" t="b">
        <f aca="false">B419&gt;=calc_cohort!C$2</f>
        <v>1</v>
      </c>
      <c r="H419" s="0" t="n">
        <f aca="false">IF(G419,1,0)</f>
        <v>1</v>
      </c>
      <c r="I419" s="0" t="n">
        <f aca="false">calc_cohort!$B$2*constant!$B$1*F419*H419</f>
        <v>0.901605339831571</v>
      </c>
      <c r="J419" s="0" t="n">
        <f aca="false">INDEX(table_spot_rate!B$1:B$2000,MATCH(A419,table_spot_rate!A$1:A$2000,0))</f>
        <v>0.0575771237612956</v>
      </c>
      <c r="K419" s="0" t="n">
        <f aca="false">(1+J419)^(-A419*constant!$B$1)</f>
        <v>0.142940839465754</v>
      </c>
      <c r="L419" s="0" t="n">
        <f aca="false">K419*I419</f>
        <v>0.128876224142331</v>
      </c>
    </row>
    <row r="420" customFormat="false" ht="12.8" hidden="false" customHeight="false" outlineLevel="0" collapsed="false">
      <c r="A420" s="0" t="n">
        <v>418</v>
      </c>
      <c r="B420" s="0" t="n">
        <f aca="false">calc_cohort!D$2+constant!$B$1*A420</f>
        <v>66.0333333333333</v>
      </c>
      <c r="C420" s="0" t="n">
        <f aca="false">_xlfn.FLOOR.MATH(B420)</f>
        <v>66</v>
      </c>
      <c r="D420" s="4" t="n">
        <f aca="false">INDEX(table_mortality_rate!$A$1:$C$2000,MATCH(C420,table_mortality_rate!$A$1:$A$2000,0),MATCH(calc_cohort!$E$2,table_mortality_rate!A$1:C$1,0))</f>
        <v>0.01594</v>
      </c>
      <c r="E420" s="0" t="n">
        <f aca="false">(1-D420)^constant!$B$1</f>
        <v>0.998661862091108</v>
      </c>
      <c r="F420" s="0" t="n">
        <f aca="false">IF(A420=0,1,F419*E420)</f>
        <v>0.875590470872754</v>
      </c>
      <c r="G420" s="5" t="b">
        <f aca="false">B420&gt;=calc_cohort!C$2</f>
        <v>1</v>
      </c>
      <c r="H420" s="0" t="n">
        <f aca="false">IF(G420,1,0)</f>
        <v>1</v>
      </c>
      <c r="I420" s="0" t="n">
        <f aca="false">calc_cohort!$B$2*constant!$B$1*F420*H420</f>
        <v>0.900398867547482</v>
      </c>
      <c r="J420" s="0" t="n">
        <f aca="false">INDEX(table_spot_rate!B$1:B$2000,MATCH(A420,table_spot_rate!A$1:A$2000,0))</f>
        <v>0.0544040929186917</v>
      </c>
      <c r="K420" s="0" t="n">
        <f aca="false">(1+J420)^(-A420*constant!$B$1)</f>
        <v>0.157974360659316</v>
      </c>
      <c r="L420" s="0" t="n">
        <f aca="false">K420*I420</f>
        <v>0.142239935439186</v>
      </c>
    </row>
    <row r="421" customFormat="false" ht="12.8" hidden="false" customHeight="false" outlineLevel="0" collapsed="false">
      <c r="A421" s="0" t="n">
        <v>419</v>
      </c>
      <c r="B421" s="0" t="n">
        <f aca="false">calc_cohort!D$2+constant!$B$1*A421</f>
        <v>66.1166666666667</v>
      </c>
      <c r="C421" s="0" t="n">
        <f aca="false">_xlfn.FLOOR.MATH(B421)</f>
        <v>66</v>
      </c>
      <c r="D421" s="4" t="n">
        <f aca="false">INDEX(table_mortality_rate!$A$1:$C$2000,MATCH(C421,table_mortality_rate!$A$1:$A$2000,0),MATCH(calc_cohort!$E$2,table_mortality_rate!A$1:C$1,0))</f>
        <v>0.01594</v>
      </c>
      <c r="E421" s="0" t="n">
        <f aca="false">(1-D421)^constant!$B$1</f>
        <v>0.998661862091108</v>
      </c>
      <c r="F421" s="0" t="n">
        <f aca="false">IF(A421=0,1,F420*E421)</f>
        <v>0.874418810071015</v>
      </c>
      <c r="G421" s="5" t="b">
        <f aca="false">B421&gt;=calc_cohort!C$2</f>
        <v>1</v>
      </c>
      <c r="H421" s="0" t="n">
        <f aca="false">IF(G421,1,0)</f>
        <v>1</v>
      </c>
      <c r="I421" s="0" t="n">
        <f aca="false">calc_cohort!$B$2*constant!$B$1*F421*H421</f>
        <v>0.899194009689693</v>
      </c>
      <c r="J421" s="0" t="n">
        <f aca="false">INDEX(table_spot_rate!B$1:B$2000,MATCH(A421,table_spot_rate!A$1:A$2000,0))</f>
        <v>0.0587967706316688</v>
      </c>
      <c r="K421" s="0" t="n">
        <f aca="false">(1+J421)^(-A421*constant!$B$1)</f>
        <v>0.136027412403379</v>
      </c>
      <c r="L421" s="0" t="n">
        <f aca="false">K421*I421</f>
        <v>0.122315034386708</v>
      </c>
    </row>
    <row r="422" customFormat="false" ht="12.8" hidden="false" customHeight="false" outlineLevel="0" collapsed="false">
      <c r="A422" s="0" t="n">
        <v>420</v>
      </c>
      <c r="B422" s="0" t="n">
        <f aca="false">calc_cohort!D$2+constant!$B$1*A422</f>
        <v>66.2</v>
      </c>
      <c r="C422" s="0" t="n">
        <f aca="false">_xlfn.FLOOR.MATH(B422)</f>
        <v>66</v>
      </c>
      <c r="D422" s="4" t="n">
        <f aca="false">INDEX(table_mortality_rate!$A$1:$C$2000,MATCH(C422,table_mortality_rate!$A$1:$A$2000,0),MATCH(calc_cohort!$E$2,table_mortality_rate!A$1:C$1,0))</f>
        <v>0.01594</v>
      </c>
      <c r="E422" s="0" t="n">
        <f aca="false">(1-D422)^constant!$B$1</f>
        <v>0.998661862091108</v>
      </c>
      <c r="F422" s="0" t="n">
        <f aca="false">IF(A422=0,1,F421*E422)</f>
        <v>0.87324871711301</v>
      </c>
      <c r="G422" s="5" t="b">
        <f aca="false">B422&gt;=calc_cohort!C$2</f>
        <v>1</v>
      </c>
      <c r="H422" s="0" t="n">
        <f aca="false">IF(G422,1,0)</f>
        <v>1</v>
      </c>
      <c r="I422" s="0" t="n">
        <f aca="false">calc_cohort!$B$2*constant!$B$1*F422*H422</f>
        <v>0.897990764097879</v>
      </c>
      <c r="J422" s="0" t="n">
        <f aca="false">INDEX(table_spot_rate!B$1:B$2000,MATCH(A422,table_spot_rate!A$1:A$2000,0))</f>
        <v>0.0567173698828285</v>
      </c>
      <c r="K422" s="0" t="n">
        <f aca="false">(1+J422)^(-A422*constant!$B$1)</f>
        <v>0.145024167720708</v>
      </c>
      <c r="L422" s="0" t="n">
        <f aca="false">K422*I422</f>
        <v>0.130230363184177</v>
      </c>
    </row>
    <row r="423" customFormat="false" ht="12.8" hidden="false" customHeight="false" outlineLevel="0" collapsed="false">
      <c r="A423" s="0" t="n">
        <v>421</v>
      </c>
      <c r="B423" s="0" t="n">
        <f aca="false">calc_cohort!D$2+constant!$B$1*A423</f>
        <v>66.2833333333333</v>
      </c>
      <c r="C423" s="0" t="n">
        <f aca="false">_xlfn.FLOOR.MATH(B423)</f>
        <v>66</v>
      </c>
      <c r="D423" s="4" t="n">
        <f aca="false">INDEX(table_mortality_rate!$A$1:$C$2000,MATCH(C423,table_mortality_rate!$A$1:$A$2000,0),MATCH(calc_cohort!$E$2,table_mortality_rate!A$1:C$1,0))</f>
        <v>0.01594</v>
      </c>
      <c r="E423" s="0" t="n">
        <f aca="false">(1-D423)^constant!$B$1</f>
        <v>0.998661862091108</v>
      </c>
      <c r="F423" s="0" t="n">
        <f aca="false">IF(A423=0,1,F422*E423)</f>
        <v>0.87208018990075</v>
      </c>
      <c r="G423" s="5" t="b">
        <f aca="false">B423&gt;=calc_cohort!C$2</f>
        <v>1</v>
      </c>
      <c r="H423" s="0" t="n">
        <f aca="false">IF(G423,1,0)</f>
        <v>1</v>
      </c>
      <c r="I423" s="0" t="n">
        <f aca="false">calc_cohort!$B$2*constant!$B$1*F423*H423</f>
        <v>0.896789128614604</v>
      </c>
      <c r="J423" s="0" t="n">
        <f aca="false">INDEX(table_spot_rate!B$1:B$2000,MATCH(A423,table_spot_rate!A$1:A$2000,0))</f>
        <v>0.0580967641343989</v>
      </c>
      <c r="K423" s="0" t="n">
        <f aca="false">(1+J423)^(-A423*constant!$B$1)</f>
        <v>0.1379010902347</v>
      </c>
      <c r="L423" s="0" t="n">
        <f aca="false">K423*I423</f>
        <v>0.123668198546581</v>
      </c>
    </row>
    <row r="424" customFormat="false" ht="12.8" hidden="false" customHeight="false" outlineLevel="0" collapsed="false">
      <c r="A424" s="0" t="n">
        <v>422</v>
      </c>
      <c r="B424" s="0" t="n">
        <f aca="false">calc_cohort!D$2+constant!$B$1*A424</f>
        <v>66.3666666666667</v>
      </c>
      <c r="C424" s="0" t="n">
        <f aca="false">_xlfn.FLOOR.MATH(B424)</f>
        <v>66</v>
      </c>
      <c r="D424" s="4" t="n">
        <f aca="false">INDEX(table_mortality_rate!$A$1:$C$2000,MATCH(C424,table_mortality_rate!$A$1:$A$2000,0),MATCH(calc_cohort!$E$2,table_mortality_rate!A$1:C$1,0))</f>
        <v>0.01594</v>
      </c>
      <c r="E424" s="0" t="n">
        <f aca="false">(1-D424)^constant!$B$1</f>
        <v>0.998661862091108</v>
      </c>
      <c r="F424" s="0" t="n">
        <f aca="false">IF(A424=0,1,F423*E424)</f>
        <v>0.87091322633905</v>
      </c>
      <c r="G424" s="5" t="b">
        <f aca="false">B424&gt;=calc_cohort!C$2</f>
        <v>1</v>
      </c>
      <c r="H424" s="0" t="n">
        <f aca="false">IF(G424,1,0)</f>
        <v>1</v>
      </c>
      <c r="I424" s="0" t="n">
        <f aca="false">calc_cohort!$B$2*constant!$B$1*F424*H424</f>
        <v>0.895589101085323</v>
      </c>
      <c r="J424" s="0" t="n">
        <f aca="false">INDEX(table_spot_rate!B$1:B$2000,MATCH(A424,table_spot_rate!A$1:A$2000,0))</f>
        <v>0.0513141528831799</v>
      </c>
      <c r="K424" s="0" t="n">
        <f aca="false">(1+J424)^(-A424*constant!$B$1)</f>
        <v>0.172083817207373</v>
      </c>
      <c r="L424" s="0" t="n">
        <f aca="false">K424*I424</f>
        <v>0.154116391164082</v>
      </c>
    </row>
    <row r="425" customFormat="false" ht="12.8" hidden="false" customHeight="false" outlineLevel="0" collapsed="false">
      <c r="A425" s="0" t="n">
        <v>423</v>
      </c>
      <c r="B425" s="0" t="n">
        <f aca="false">calc_cohort!D$2+constant!$B$1*A425</f>
        <v>66.45</v>
      </c>
      <c r="C425" s="0" t="n">
        <f aca="false">_xlfn.FLOOR.MATH(B425)</f>
        <v>66</v>
      </c>
      <c r="D425" s="4" t="n">
        <f aca="false">INDEX(table_mortality_rate!$A$1:$C$2000,MATCH(C425,table_mortality_rate!$A$1:$A$2000,0),MATCH(calc_cohort!$E$2,table_mortality_rate!A$1:C$1,0))</f>
        <v>0.01594</v>
      </c>
      <c r="E425" s="0" t="n">
        <f aca="false">(1-D425)^constant!$B$1</f>
        <v>0.998661862091108</v>
      </c>
      <c r="F425" s="0" t="n">
        <f aca="false">IF(A425=0,1,F424*E425)</f>
        <v>0.86974782433553</v>
      </c>
      <c r="G425" s="5" t="b">
        <f aca="false">B425&gt;=calc_cohort!C$2</f>
        <v>1</v>
      </c>
      <c r="H425" s="0" t="n">
        <f aca="false">IF(G425,1,0)</f>
        <v>1</v>
      </c>
      <c r="I425" s="0" t="n">
        <f aca="false">calc_cohort!$B$2*constant!$B$1*F425*H425</f>
        <v>0.89439067935837</v>
      </c>
      <c r="J425" s="0" t="n">
        <f aca="false">INDEX(table_spot_rate!B$1:B$2000,MATCH(A425,table_spot_rate!A$1:A$2000,0))</f>
        <v>0.0532255504512715</v>
      </c>
      <c r="K425" s="0" t="n">
        <f aca="false">(1+J425)^(-A425*constant!$B$1)</f>
        <v>0.160738953273959</v>
      </c>
      <c r="L425" s="0" t="n">
        <f aca="false">K425*I425</f>
        <v>0.143763421618049</v>
      </c>
    </row>
    <row r="426" customFormat="false" ht="12.8" hidden="false" customHeight="false" outlineLevel="0" collapsed="false">
      <c r="A426" s="0" t="n">
        <v>424</v>
      </c>
      <c r="B426" s="0" t="n">
        <f aca="false">calc_cohort!D$2+constant!$B$1*A426</f>
        <v>66.5333333333333</v>
      </c>
      <c r="C426" s="0" t="n">
        <f aca="false">_xlfn.FLOOR.MATH(B426)</f>
        <v>66</v>
      </c>
      <c r="D426" s="4" t="n">
        <f aca="false">INDEX(table_mortality_rate!$A$1:$C$2000,MATCH(C426,table_mortality_rate!$A$1:$A$2000,0),MATCH(calc_cohort!$E$2,table_mortality_rate!A$1:C$1,0))</f>
        <v>0.01594</v>
      </c>
      <c r="E426" s="0" t="n">
        <f aca="false">(1-D426)^constant!$B$1</f>
        <v>0.998661862091108</v>
      </c>
      <c r="F426" s="0" t="n">
        <f aca="false">IF(A426=0,1,F425*E426)</f>
        <v>0.86858398180061</v>
      </c>
      <c r="G426" s="5" t="b">
        <f aca="false">B426&gt;=calc_cohort!C$2</f>
        <v>1</v>
      </c>
      <c r="H426" s="0" t="n">
        <f aca="false">IF(G426,1,0)</f>
        <v>1</v>
      </c>
      <c r="I426" s="0" t="n">
        <f aca="false">calc_cohort!$B$2*constant!$B$1*F426*H426</f>
        <v>0.89319386128496</v>
      </c>
      <c r="J426" s="0" t="n">
        <f aca="false">INDEX(table_spot_rate!B$1:B$2000,MATCH(A426,table_spot_rate!A$1:A$2000,0))</f>
        <v>0.0566913037852225</v>
      </c>
      <c r="K426" s="0" t="n">
        <f aca="false">(1+J426)^(-A426*constant!$B$1)</f>
        <v>0.142505826724698</v>
      </c>
      <c r="L426" s="0" t="n">
        <f aca="false">K426*I426</f>
        <v>0.127285329627839</v>
      </c>
    </row>
    <row r="427" customFormat="false" ht="12.8" hidden="false" customHeight="false" outlineLevel="0" collapsed="false">
      <c r="A427" s="0" t="n">
        <v>425</v>
      </c>
      <c r="B427" s="0" t="n">
        <f aca="false">calc_cohort!D$2+constant!$B$1*A427</f>
        <v>66.6166666666667</v>
      </c>
      <c r="C427" s="0" t="n">
        <f aca="false">_xlfn.FLOOR.MATH(B427)</f>
        <v>66</v>
      </c>
      <c r="D427" s="4" t="n">
        <f aca="false">INDEX(table_mortality_rate!$A$1:$C$2000,MATCH(C427,table_mortality_rate!$A$1:$A$2000,0),MATCH(calc_cohort!$E$2,table_mortality_rate!A$1:C$1,0))</f>
        <v>0.01594</v>
      </c>
      <c r="E427" s="0" t="n">
        <f aca="false">(1-D427)^constant!$B$1</f>
        <v>0.998661862091108</v>
      </c>
      <c r="F427" s="0" t="n">
        <f aca="false">IF(A427=0,1,F426*E427)</f>
        <v>0.867421696647506</v>
      </c>
      <c r="G427" s="5" t="b">
        <f aca="false">B427&gt;=calc_cohort!C$2</f>
        <v>1</v>
      </c>
      <c r="H427" s="0" t="n">
        <f aca="false">IF(G427,1,0)</f>
        <v>1</v>
      </c>
      <c r="I427" s="0" t="n">
        <f aca="false">calc_cohort!$B$2*constant!$B$1*F427*H427</f>
        <v>0.891998644719185</v>
      </c>
      <c r="J427" s="0" t="n">
        <f aca="false">INDEX(table_spot_rate!B$1:B$2000,MATCH(A427,table_spot_rate!A$1:A$2000,0))</f>
        <v>0.0514896819542864</v>
      </c>
      <c r="K427" s="0" t="n">
        <f aca="false">(1+J427)^(-A427*constant!$B$1)</f>
        <v>0.168942547163104</v>
      </c>
      <c r="L427" s="0" t="n">
        <f aca="false">K427*I427</f>
        <v>0.150696523104896</v>
      </c>
    </row>
    <row r="428" customFormat="false" ht="12.8" hidden="false" customHeight="false" outlineLevel="0" collapsed="false">
      <c r="A428" s="0" t="n">
        <v>426</v>
      </c>
      <c r="B428" s="0" t="n">
        <f aca="false">calc_cohort!D$2+constant!$B$1*A428</f>
        <v>66.7</v>
      </c>
      <c r="C428" s="0" t="n">
        <f aca="false">_xlfn.FLOOR.MATH(B428)</f>
        <v>66</v>
      </c>
      <c r="D428" s="4" t="n">
        <f aca="false">INDEX(table_mortality_rate!$A$1:$C$2000,MATCH(C428,table_mortality_rate!$A$1:$A$2000,0),MATCH(calc_cohort!$E$2,table_mortality_rate!A$1:C$1,0))</f>
        <v>0.01594</v>
      </c>
      <c r="E428" s="0" t="n">
        <f aca="false">(1-D428)^constant!$B$1</f>
        <v>0.998661862091108</v>
      </c>
      <c r="F428" s="0" t="n">
        <f aca="false">IF(A428=0,1,F427*E428)</f>
        <v>0.866260966792226</v>
      </c>
      <c r="G428" s="5" t="b">
        <f aca="false">B428&gt;=calc_cohort!C$2</f>
        <v>1</v>
      </c>
      <c r="H428" s="0" t="n">
        <f aca="false">IF(G428,1,0)</f>
        <v>1</v>
      </c>
      <c r="I428" s="0" t="n">
        <f aca="false">calc_cohort!$B$2*constant!$B$1*F428*H428</f>
        <v>0.890805027518006</v>
      </c>
      <c r="J428" s="0" t="n">
        <f aca="false">INDEX(table_spot_rate!B$1:B$2000,MATCH(A428,table_spot_rate!A$1:A$2000,0))</f>
        <v>0.055972831802526</v>
      </c>
      <c r="K428" s="0" t="n">
        <f aca="false">(1+J428)^(-A428*constant!$B$1)</f>
        <v>0.14465303862863</v>
      </c>
      <c r="L428" s="0" t="n">
        <f aca="false">K428*I428</f>
        <v>0.12885765405614</v>
      </c>
    </row>
    <row r="429" customFormat="false" ht="12.8" hidden="false" customHeight="false" outlineLevel="0" collapsed="false">
      <c r="A429" s="0" t="n">
        <v>427</v>
      </c>
      <c r="B429" s="0" t="n">
        <f aca="false">calc_cohort!D$2+constant!$B$1*A429</f>
        <v>66.7833333333333</v>
      </c>
      <c r="C429" s="0" t="n">
        <f aca="false">_xlfn.FLOOR.MATH(B429)</f>
        <v>66</v>
      </c>
      <c r="D429" s="4" t="n">
        <f aca="false">INDEX(table_mortality_rate!$A$1:$C$2000,MATCH(C429,table_mortality_rate!$A$1:$A$2000,0),MATCH(calc_cohort!$E$2,table_mortality_rate!A$1:C$1,0))</f>
        <v>0.01594</v>
      </c>
      <c r="E429" s="0" t="n">
        <f aca="false">(1-D429)^constant!$B$1</f>
        <v>0.998661862091108</v>
      </c>
      <c r="F429" s="0" t="n">
        <f aca="false">IF(A429=0,1,F428*E429)</f>
        <v>0.865101790153568</v>
      </c>
      <c r="G429" s="5" t="b">
        <f aca="false">B429&gt;=calc_cohort!C$2</f>
        <v>1</v>
      </c>
      <c r="H429" s="0" t="n">
        <f aca="false">IF(G429,1,0)</f>
        <v>1</v>
      </c>
      <c r="I429" s="0" t="n">
        <f aca="false">calc_cohort!$B$2*constant!$B$1*F429*H429</f>
        <v>0.889613007541252</v>
      </c>
      <c r="J429" s="0" t="n">
        <f aca="false">INDEX(table_spot_rate!B$1:B$2000,MATCH(A429,table_spot_rate!A$1:A$2000,0))</f>
        <v>0.0533931853374776</v>
      </c>
      <c r="K429" s="0" t="n">
        <f aca="false">(1+J429)^(-A429*constant!$B$1)</f>
        <v>0.157092173737972</v>
      </c>
      <c r="L429" s="0" t="n">
        <f aca="false">K429*I429</f>
        <v>0.13975124114023</v>
      </c>
    </row>
    <row r="430" customFormat="false" ht="12.8" hidden="false" customHeight="false" outlineLevel="0" collapsed="false">
      <c r="A430" s="0" t="n">
        <v>428</v>
      </c>
      <c r="B430" s="0" t="n">
        <f aca="false">calc_cohort!D$2+constant!$B$1*A430</f>
        <v>66.8666666666667</v>
      </c>
      <c r="C430" s="0" t="n">
        <f aca="false">_xlfn.FLOOR.MATH(B430)</f>
        <v>66</v>
      </c>
      <c r="D430" s="4" t="n">
        <f aca="false">INDEX(table_mortality_rate!$A$1:$C$2000,MATCH(C430,table_mortality_rate!$A$1:$A$2000,0),MATCH(calc_cohort!$E$2,table_mortality_rate!A$1:C$1,0))</f>
        <v>0.01594</v>
      </c>
      <c r="E430" s="0" t="n">
        <f aca="false">(1-D430)^constant!$B$1</f>
        <v>0.998661862091108</v>
      </c>
      <c r="F430" s="0" t="n">
        <f aca="false">IF(A430=0,1,F429*E430)</f>
        <v>0.863944164653113</v>
      </c>
      <c r="G430" s="5" t="b">
        <f aca="false">B430&gt;=calc_cohort!C$2</f>
        <v>1</v>
      </c>
      <c r="H430" s="0" t="n">
        <f aca="false">IF(G430,1,0)</f>
        <v>1</v>
      </c>
      <c r="I430" s="0" t="n">
        <f aca="false">calc_cohort!$B$2*constant!$B$1*F430*H430</f>
        <v>0.888422582651617</v>
      </c>
      <c r="J430" s="0" t="n">
        <f aca="false">INDEX(table_spot_rate!B$1:B$2000,MATCH(A430,table_spot_rate!A$1:A$2000,0))</f>
        <v>0.0524139009123269</v>
      </c>
      <c r="K430" s="0" t="n">
        <f aca="false">(1+J430)^(-A430*constant!$B$1)</f>
        <v>0.161688374089364</v>
      </c>
      <c r="L430" s="0" t="n">
        <f aca="false">K430*I430</f>
        <v>0.143647602893214</v>
      </c>
    </row>
    <row r="431" customFormat="false" ht="12.8" hidden="false" customHeight="false" outlineLevel="0" collapsed="false">
      <c r="A431" s="0" t="n">
        <v>429</v>
      </c>
      <c r="B431" s="0" t="n">
        <f aca="false">calc_cohort!D$2+constant!$B$1*A431</f>
        <v>66.95</v>
      </c>
      <c r="C431" s="0" t="n">
        <f aca="false">_xlfn.FLOOR.MATH(B431)</f>
        <v>66</v>
      </c>
      <c r="D431" s="4" t="n">
        <f aca="false">INDEX(table_mortality_rate!$A$1:$C$2000,MATCH(C431,table_mortality_rate!$A$1:$A$2000,0),MATCH(calc_cohort!$E$2,table_mortality_rate!A$1:C$1,0))</f>
        <v>0.01594</v>
      </c>
      <c r="E431" s="0" t="n">
        <f aca="false">(1-D431)^constant!$B$1</f>
        <v>0.998661862091108</v>
      </c>
      <c r="F431" s="0" t="n">
        <f aca="false">IF(A431=0,1,F430*E431)</f>
        <v>0.862788088215224</v>
      </c>
      <c r="G431" s="5" t="b">
        <f aca="false">B431&gt;=calc_cohort!C$2</f>
        <v>1</v>
      </c>
      <c r="H431" s="0" t="n">
        <f aca="false">IF(G431,1,0)</f>
        <v>1</v>
      </c>
      <c r="I431" s="0" t="n">
        <f aca="false">calc_cohort!$B$2*constant!$B$1*F431*H431</f>
        <v>0.887233750714655</v>
      </c>
      <c r="J431" s="0" t="n">
        <f aca="false">INDEX(table_spot_rate!B$1:B$2000,MATCH(A431,table_spot_rate!A$1:A$2000,0))</f>
        <v>0.0553314581861641</v>
      </c>
      <c r="K431" s="0" t="n">
        <f aca="false">(1+J431)^(-A431*constant!$B$1)</f>
        <v>0.145830173347062</v>
      </c>
      <c r="L431" s="0" t="n">
        <f aca="false">K431*I431</f>
        <v>0.129385451666082</v>
      </c>
    </row>
    <row r="432" customFormat="false" ht="12.8" hidden="false" customHeight="false" outlineLevel="0" collapsed="false">
      <c r="A432" s="0" t="n">
        <v>430</v>
      </c>
      <c r="B432" s="0" t="n">
        <f aca="false">calc_cohort!D$2+constant!$B$1*A432</f>
        <v>67.0333333333333</v>
      </c>
      <c r="C432" s="0" t="n">
        <f aca="false">_xlfn.FLOOR.MATH(B432)</f>
        <v>67</v>
      </c>
      <c r="D432" s="4" t="n">
        <f aca="false">INDEX(table_mortality_rate!$A$1:$C$2000,MATCH(C432,table_mortality_rate!$A$1:$A$2000,0),MATCH(calc_cohort!$E$2,table_mortality_rate!A$1:C$1,0))</f>
        <v>0.017824</v>
      </c>
      <c r="E432" s="0" t="n">
        <f aca="false">(1-D432)^constant!$B$1</f>
        <v>0.998502392483563</v>
      </c>
      <c r="F432" s="0" t="n">
        <f aca="false">IF(A432=0,1,F431*E432)</f>
        <v>0.861495970289221</v>
      </c>
      <c r="G432" s="5" t="b">
        <f aca="false">B432&gt;=calc_cohort!C$2</f>
        <v>1</v>
      </c>
      <c r="H432" s="0" t="n">
        <f aca="false">IF(G432,1,0)</f>
        <v>1</v>
      </c>
      <c r="I432" s="0" t="n">
        <f aca="false">calc_cohort!$B$2*constant!$B$1*F432*H432</f>
        <v>0.885905022780749</v>
      </c>
      <c r="J432" s="0" t="n">
        <f aca="false">INDEX(table_spot_rate!B$1:B$2000,MATCH(A432,table_spot_rate!A$1:A$2000,0))</f>
        <v>0.0582231382317168</v>
      </c>
      <c r="K432" s="0" t="n">
        <f aca="false">(1+J432)^(-A432*constant!$B$1)</f>
        <v>0.131617941090876</v>
      </c>
      <c r="L432" s="0" t="n">
        <f aca="false">K432*I432</f>
        <v>0.116600995100468</v>
      </c>
    </row>
    <row r="433" customFormat="false" ht="12.8" hidden="false" customHeight="false" outlineLevel="0" collapsed="false">
      <c r="A433" s="0" t="n">
        <v>431</v>
      </c>
      <c r="B433" s="0" t="n">
        <f aca="false">calc_cohort!D$2+constant!$B$1*A433</f>
        <v>67.1166666666667</v>
      </c>
      <c r="C433" s="0" t="n">
        <f aca="false">_xlfn.FLOOR.MATH(B433)</f>
        <v>67</v>
      </c>
      <c r="D433" s="4" t="n">
        <f aca="false">INDEX(table_mortality_rate!$A$1:$C$2000,MATCH(C433,table_mortality_rate!$A$1:$A$2000,0),MATCH(calc_cohort!$E$2,table_mortality_rate!A$1:C$1,0))</f>
        <v>0.017824</v>
      </c>
      <c r="E433" s="0" t="n">
        <f aca="false">(1-D433)^constant!$B$1</f>
        <v>0.998502392483563</v>
      </c>
      <c r="F433" s="0" t="n">
        <f aca="false">IF(A433=0,1,F432*E433)</f>
        <v>0.860205787448735</v>
      </c>
      <c r="G433" s="5" t="b">
        <f aca="false">B433&gt;=calc_cohort!C$2</f>
        <v>1</v>
      </c>
      <c r="H433" s="0" t="n">
        <f aca="false">IF(G433,1,0)</f>
        <v>1</v>
      </c>
      <c r="I433" s="0" t="n">
        <f aca="false">calc_cohort!$B$2*constant!$B$1*F433*H433</f>
        <v>0.884578284759783</v>
      </c>
      <c r="J433" s="0" t="n">
        <f aca="false">INDEX(table_spot_rate!B$1:B$2000,MATCH(A433,table_spot_rate!A$1:A$2000,0))</f>
        <v>0.0574670049958611</v>
      </c>
      <c r="K433" s="0" t="n">
        <f aca="false">(1+J433)^(-A433*constant!$B$1)</f>
        <v>0.134405338746828</v>
      </c>
      <c r="L433" s="0" t="n">
        <f aca="false">K433*I433</f>
        <v>0.118892044011227</v>
      </c>
    </row>
    <row r="434" customFormat="false" ht="12.8" hidden="false" customHeight="false" outlineLevel="0" collapsed="false">
      <c r="A434" s="0" t="n">
        <v>432</v>
      </c>
      <c r="B434" s="0" t="n">
        <f aca="false">calc_cohort!D$2+constant!$B$1*A434</f>
        <v>67.2</v>
      </c>
      <c r="C434" s="0" t="n">
        <f aca="false">_xlfn.FLOOR.MATH(B434)</f>
        <v>67</v>
      </c>
      <c r="D434" s="4" t="n">
        <f aca="false">INDEX(table_mortality_rate!$A$1:$C$2000,MATCH(C434,table_mortality_rate!$A$1:$A$2000,0),MATCH(calc_cohort!$E$2,table_mortality_rate!A$1:C$1,0))</f>
        <v>0.017824</v>
      </c>
      <c r="E434" s="0" t="n">
        <f aca="false">(1-D434)^constant!$B$1</f>
        <v>0.998502392483563</v>
      </c>
      <c r="F434" s="0" t="n">
        <f aca="false">IF(A434=0,1,F433*E434)</f>
        <v>0.85891753679577</v>
      </c>
      <c r="G434" s="5" t="b">
        <f aca="false">B434&gt;=calc_cohort!C$2</f>
        <v>1</v>
      </c>
      <c r="H434" s="0" t="n">
        <f aca="false">IF(G434,1,0)</f>
        <v>1</v>
      </c>
      <c r="I434" s="0" t="n">
        <f aca="false">calc_cohort!$B$2*constant!$B$1*F434*H434</f>
        <v>0.88325353367165</v>
      </c>
      <c r="J434" s="0" t="n">
        <f aca="false">INDEX(table_spot_rate!B$1:B$2000,MATCH(A434,table_spot_rate!A$1:A$2000,0))</f>
        <v>0.0502642540710126</v>
      </c>
      <c r="K434" s="0" t="n">
        <f aca="false">(1+J434)^(-A434*constant!$B$1)</f>
        <v>0.171100374418667</v>
      </c>
      <c r="L434" s="0" t="n">
        <f aca="false">K434*I434</f>
        <v>0.15112501031783</v>
      </c>
    </row>
    <row r="435" customFormat="false" ht="12.8" hidden="false" customHeight="false" outlineLevel="0" collapsed="false">
      <c r="A435" s="0" t="n">
        <v>433</v>
      </c>
      <c r="B435" s="0" t="n">
        <f aca="false">calc_cohort!D$2+constant!$B$1*A435</f>
        <v>67.2833333333333</v>
      </c>
      <c r="C435" s="0" t="n">
        <f aca="false">_xlfn.FLOOR.MATH(B435)</f>
        <v>67</v>
      </c>
      <c r="D435" s="4" t="n">
        <f aca="false">INDEX(table_mortality_rate!$A$1:$C$2000,MATCH(C435,table_mortality_rate!$A$1:$A$2000,0),MATCH(calc_cohort!$E$2,table_mortality_rate!A$1:C$1,0))</f>
        <v>0.017824</v>
      </c>
      <c r="E435" s="0" t="n">
        <f aca="false">(1-D435)^constant!$B$1</f>
        <v>0.998502392483563</v>
      </c>
      <c r="F435" s="0" t="n">
        <f aca="false">IF(A435=0,1,F434*E435)</f>
        <v>0.857631215436665</v>
      </c>
      <c r="G435" s="5" t="b">
        <f aca="false">B435&gt;=calc_cohort!C$2</f>
        <v>1</v>
      </c>
      <c r="H435" s="0" t="n">
        <f aca="false">IF(G435,1,0)</f>
        <v>1</v>
      </c>
      <c r="I435" s="0" t="n">
        <f aca="false">calc_cohort!$B$2*constant!$B$1*F435*H435</f>
        <v>0.881930766540704</v>
      </c>
      <c r="J435" s="0" t="n">
        <f aca="false">INDEX(table_spot_rate!B$1:B$2000,MATCH(A435,table_spot_rate!A$1:A$2000,0))</f>
        <v>0.0514213932220108</v>
      </c>
      <c r="K435" s="0" t="n">
        <f aca="false">(1+J435)^(-A435*constant!$B$1)</f>
        <v>0.16376463801551</v>
      </c>
      <c r="L435" s="0" t="n">
        <f aca="false">K435*I435</f>
        <v>0.14442907273728</v>
      </c>
    </row>
    <row r="436" customFormat="false" ht="12.8" hidden="false" customHeight="false" outlineLevel="0" collapsed="false">
      <c r="A436" s="0" t="n">
        <v>434</v>
      </c>
      <c r="B436" s="0" t="n">
        <f aca="false">calc_cohort!D$2+constant!$B$1*A436</f>
        <v>67.3666666666667</v>
      </c>
      <c r="C436" s="0" t="n">
        <f aca="false">_xlfn.FLOOR.MATH(B436)</f>
        <v>67</v>
      </c>
      <c r="D436" s="4" t="n">
        <f aca="false">INDEX(table_mortality_rate!$A$1:$C$2000,MATCH(C436,table_mortality_rate!$A$1:$A$2000,0),MATCH(calc_cohort!$E$2,table_mortality_rate!A$1:C$1,0))</f>
        <v>0.017824</v>
      </c>
      <c r="E436" s="0" t="n">
        <f aca="false">(1-D436)^constant!$B$1</f>
        <v>0.998502392483563</v>
      </c>
      <c r="F436" s="0" t="n">
        <f aca="false">IF(A436=0,1,F435*E436)</f>
        <v>0.856346820482096</v>
      </c>
      <c r="G436" s="5" t="b">
        <f aca="false">B436&gt;=calc_cohort!C$2</f>
        <v>1</v>
      </c>
      <c r="H436" s="0" t="n">
        <f aca="false">IF(G436,1,0)</f>
        <v>1</v>
      </c>
      <c r="I436" s="0" t="n">
        <f aca="false">calc_cohort!$B$2*constant!$B$1*F436*H436</f>
        <v>0.880609980395755</v>
      </c>
      <c r="J436" s="0" t="n">
        <f aca="false">INDEX(table_spot_rate!B$1:B$2000,MATCH(A436,table_spot_rate!A$1:A$2000,0))</f>
        <v>0.058929188703518</v>
      </c>
      <c r="K436" s="0" t="n">
        <f aca="false">(1+J436)^(-A436*constant!$B$1)</f>
        <v>0.126080061137872</v>
      </c>
      <c r="L436" s="0" t="n">
        <f aca="false">K436*I436</f>
        <v>0.111027360166917</v>
      </c>
    </row>
    <row r="437" customFormat="false" ht="12.8" hidden="false" customHeight="false" outlineLevel="0" collapsed="false">
      <c r="A437" s="0" t="n">
        <v>435</v>
      </c>
      <c r="B437" s="0" t="n">
        <f aca="false">calc_cohort!D$2+constant!$B$1*A437</f>
        <v>67.45</v>
      </c>
      <c r="C437" s="0" t="n">
        <f aca="false">_xlfn.FLOOR.MATH(B437)</f>
        <v>67</v>
      </c>
      <c r="D437" s="4" t="n">
        <f aca="false">INDEX(table_mortality_rate!$A$1:$C$2000,MATCH(C437,table_mortality_rate!$A$1:$A$2000,0),MATCH(calc_cohort!$E$2,table_mortality_rate!A$1:C$1,0))</f>
        <v>0.017824</v>
      </c>
      <c r="E437" s="0" t="n">
        <f aca="false">(1-D437)^constant!$B$1</f>
        <v>0.998502392483563</v>
      </c>
      <c r="F437" s="0" t="n">
        <f aca="false">IF(A437=0,1,F436*E437)</f>
        <v>0.855064349047065</v>
      </c>
      <c r="G437" s="5" t="b">
        <f aca="false">B437&gt;=calc_cohort!C$2</f>
        <v>1</v>
      </c>
      <c r="H437" s="0" t="n">
        <f aca="false">IF(G437,1,0)</f>
        <v>1</v>
      </c>
      <c r="I437" s="0" t="n">
        <f aca="false">calc_cohort!$B$2*constant!$B$1*F437*H437</f>
        <v>0.879291172270065</v>
      </c>
      <c r="J437" s="0" t="n">
        <f aca="false">INDEX(table_spot_rate!B$1:B$2000,MATCH(A437,table_spot_rate!A$1:A$2000,0))</f>
        <v>0.0503640977923074</v>
      </c>
      <c r="K437" s="0" t="n">
        <f aca="false">(1+J437)^(-A437*constant!$B$1)</f>
        <v>0.168433997007436</v>
      </c>
      <c r="L437" s="0" t="n">
        <f aca="false">K437*I437</f>
        <v>0.148102526678801</v>
      </c>
    </row>
    <row r="438" customFormat="false" ht="12.8" hidden="false" customHeight="false" outlineLevel="0" collapsed="false">
      <c r="A438" s="0" t="n">
        <v>436</v>
      </c>
      <c r="B438" s="0" t="n">
        <f aca="false">calc_cohort!D$2+constant!$B$1*A438</f>
        <v>67.5333333333333</v>
      </c>
      <c r="C438" s="0" t="n">
        <f aca="false">_xlfn.FLOOR.MATH(B438)</f>
        <v>67</v>
      </c>
      <c r="D438" s="4" t="n">
        <f aca="false">INDEX(table_mortality_rate!$A$1:$C$2000,MATCH(C438,table_mortality_rate!$A$1:$A$2000,0),MATCH(calc_cohort!$E$2,table_mortality_rate!A$1:C$1,0))</f>
        <v>0.017824</v>
      </c>
      <c r="E438" s="0" t="n">
        <f aca="false">(1-D438)^constant!$B$1</f>
        <v>0.998502392483563</v>
      </c>
      <c r="F438" s="0" t="n">
        <f aca="false">IF(A438=0,1,F437*E438)</f>
        <v>0.853783798250895</v>
      </c>
      <c r="G438" s="5" t="b">
        <f aca="false">B438&gt;=calc_cohort!C$2</f>
        <v>1</v>
      </c>
      <c r="H438" s="0" t="n">
        <f aca="false">IF(G438,1,0)</f>
        <v>1</v>
      </c>
      <c r="I438" s="0" t="n">
        <f aca="false">calc_cohort!$B$2*constant!$B$1*F438*H438</f>
        <v>0.877974339201337</v>
      </c>
      <c r="J438" s="0" t="n">
        <f aca="false">INDEX(table_spot_rate!B$1:B$2000,MATCH(A438,table_spot_rate!A$1:A$2000,0))</f>
        <v>0.0567245578227871</v>
      </c>
      <c r="K438" s="0" t="n">
        <f aca="false">(1+J438)^(-A438*constant!$B$1)</f>
        <v>0.134706304000815</v>
      </c>
      <c r="L438" s="0" t="n">
        <f aca="false">K438*I438</f>
        <v>0.11826867824137</v>
      </c>
    </row>
    <row r="439" customFormat="false" ht="12.8" hidden="false" customHeight="false" outlineLevel="0" collapsed="false">
      <c r="A439" s="0" t="n">
        <v>437</v>
      </c>
      <c r="B439" s="0" t="n">
        <f aca="false">calc_cohort!D$2+constant!$B$1*A439</f>
        <v>67.6166666666667</v>
      </c>
      <c r="C439" s="0" t="n">
        <f aca="false">_xlfn.FLOOR.MATH(B439)</f>
        <v>67</v>
      </c>
      <c r="D439" s="4" t="n">
        <f aca="false">INDEX(table_mortality_rate!$A$1:$C$2000,MATCH(C439,table_mortality_rate!$A$1:$A$2000,0),MATCH(calc_cohort!$E$2,table_mortality_rate!A$1:C$1,0))</f>
        <v>0.017824</v>
      </c>
      <c r="E439" s="0" t="n">
        <f aca="false">(1-D439)^constant!$B$1</f>
        <v>0.998502392483563</v>
      </c>
      <c r="F439" s="0" t="n">
        <f aca="false">IF(A439=0,1,F438*E439)</f>
        <v>0.852505165217222</v>
      </c>
      <c r="G439" s="5" t="b">
        <f aca="false">B439&gt;=calc_cohort!C$2</f>
        <v>1</v>
      </c>
      <c r="H439" s="0" t="n">
        <f aca="false">IF(G439,1,0)</f>
        <v>1</v>
      </c>
      <c r="I439" s="0" t="n">
        <f aca="false">calc_cohort!$B$2*constant!$B$1*F439*H439</f>
        <v>0.87665947823171</v>
      </c>
      <c r="J439" s="0" t="n">
        <f aca="false">INDEX(table_spot_rate!B$1:B$2000,MATCH(A439,table_spot_rate!A$1:A$2000,0))</f>
        <v>0.0538752746668222</v>
      </c>
      <c r="K439" s="0" t="n">
        <f aca="false">(1+J439)^(-A439*constant!$B$1)</f>
        <v>0.147942425835984</v>
      </c>
      <c r="L439" s="0" t="n">
        <f aca="false">K439*I439</f>
        <v>0.129695129841707</v>
      </c>
    </row>
    <row r="440" customFormat="false" ht="12.8" hidden="false" customHeight="false" outlineLevel="0" collapsed="false">
      <c r="A440" s="0" t="n">
        <v>438</v>
      </c>
      <c r="B440" s="0" t="n">
        <f aca="false">calc_cohort!D$2+constant!$B$1*A440</f>
        <v>67.7</v>
      </c>
      <c r="C440" s="0" t="n">
        <f aca="false">_xlfn.FLOOR.MATH(B440)</f>
        <v>67</v>
      </c>
      <c r="D440" s="4" t="n">
        <f aca="false">INDEX(table_mortality_rate!$A$1:$C$2000,MATCH(C440,table_mortality_rate!$A$1:$A$2000,0),MATCH(calc_cohort!$E$2,table_mortality_rate!A$1:C$1,0))</f>
        <v>0.017824</v>
      </c>
      <c r="E440" s="0" t="n">
        <f aca="false">(1-D440)^constant!$B$1</f>
        <v>0.998502392483563</v>
      </c>
      <c r="F440" s="0" t="n">
        <f aca="false">IF(A440=0,1,F439*E440)</f>
        <v>0.851228447073992</v>
      </c>
      <c r="G440" s="5" t="b">
        <f aca="false">B440&gt;=calc_cohort!C$2</f>
        <v>1</v>
      </c>
      <c r="H440" s="0" t="n">
        <f aca="false">IF(G440,1,0)</f>
        <v>1</v>
      </c>
      <c r="I440" s="0" t="n">
        <f aca="false">calc_cohort!$B$2*constant!$B$1*F440*H440</f>
        <v>0.875346586407755</v>
      </c>
      <c r="J440" s="0" t="n">
        <f aca="false">INDEX(table_spot_rate!B$1:B$2000,MATCH(A440,table_spot_rate!A$1:A$2000,0))</f>
        <v>0.0560302676929573</v>
      </c>
      <c r="K440" s="0" t="n">
        <f aca="false">(1+J440)^(-A440*constant!$B$1)</f>
        <v>0.136713889823895</v>
      </c>
      <c r="L440" s="0" t="n">
        <f aca="false">K440*I440</f>
        <v>0.119672036771873</v>
      </c>
    </row>
    <row r="441" customFormat="false" ht="12.8" hidden="false" customHeight="false" outlineLevel="0" collapsed="false">
      <c r="A441" s="0" t="n">
        <v>439</v>
      </c>
      <c r="B441" s="0" t="n">
        <f aca="false">calc_cohort!D$2+constant!$B$1*A441</f>
        <v>67.7833333333333</v>
      </c>
      <c r="C441" s="0" t="n">
        <f aca="false">_xlfn.FLOOR.MATH(B441)</f>
        <v>67</v>
      </c>
      <c r="D441" s="4" t="n">
        <f aca="false">INDEX(table_mortality_rate!$A$1:$C$2000,MATCH(C441,table_mortality_rate!$A$1:$A$2000,0),MATCH(calc_cohort!$E$2,table_mortality_rate!A$1:C$1,0))</f>
        <v>0.017824</v>
      </c>
      <c r="E441" s="0" t="n">
        <f aca="false">(1-D441)^constant!$B$1</f>
        <v>0.998502392483563</v>
      </c>
      <c r="F441" s="0" t="n">
        <f aca="false">IF(A441=0,1,F440*E441)</f>
        <v>0.849953640953449</v>
      </c>
      <c r="G441" s="5" t="b">
        <f aca="false">B441&gt;=calc_cohort!C$2</f>
        <v>1</v>
      </c>
      <c r="H441" s="0" t="n">
        <f aca="false">IF(G441,1,0)</f>
        <v>1</v>
      </c>
      <c r="I441" s="0" t="n">
        <f aca="false">calc_cohort!$B$2*constant!$B$1*F441*H441</f>
        <v>0.874035660780463</v>
      </c>
      <c r="J441" s="0" t="n">
        <f aca="false">INDEX(table_spot_rate!B$1:B$2000,MATCH(A441,table_spot_rate!A$1:A$2000,0))</f>
        <v>0.0526562204300747</v>
      </c>
      <c r="K441" s="0" t="n">
        <f aca="false">(1+J441)^(-A441*constant!$B$1)</f>
        <v>0.152997136948795</v>
      </c>
      <c r="L441" s="0" t="n">
        <f aca="false">K441*I441</f>
        <v>0.133724953690559</v>
      </c>
    </row>
    <row r="442" customFormat="false" ht="12.8" hidden="false" customHeight="false" outlineLevel="0" collapsed="false">
      <c r="A442" s="0" t="n">
        <v>440</v>
      </c>
      <c r="B442" s="0" t="n">
        <f aca="false">calc_cohort!D$2+constant!$B$1*A442</f>
        <v>67.8666666666667</v>
      </c>
      <c r="C442" s="0" t="n">
        <f aca="false">_xlfn.FLOOR.MATH(B442)</f>
        <v>67</v>
      </c>
      <c r="D442" s="4" t="n">
        <f aca="false">INDEX(table_mortality_rate!$A$1:$C$2000,MATCH(C442,table_mortality_rate!$A$1:$A$2000,0),MATCH(calc_cohort!$E$2,table_mortality_rate!A$1:C$1,0))</f>
        <v>0.017824</v>
      </c>
      <c r="E442" s="0" t="n">
        <f aca="false">(1-D442)^constant!$B$1</f>
        <v>0.998502392483563</v>
      </c>
      <c r="F442" s="0" t="n">
        <f aca="false">IF(A442=0,1,F441*E442)</f>
        <v>0.848680743992134</v>
      </c>
      <c r="G442" s="5" t="b">
        <f aca="false">B442&gt;=calc_cohort!C$2</f>
        <v>1</v>
      </c>
      <c r="H442" s="0" t="n">
        <f aca="false">IF(G442,1,0)</f>
        <v>1</v>
      </c>
      <c r="I442" s="0" t="n">
        <f aca="false">calc_cohort!$B$2*constant!$B$1*F442*H442</f>
        <v>0.872726698405245</v>
      </c>
      <c r="J442" s="0" t="n">
        <f aca="false">INDEX(table_spot_rate!B$1:B$2000,MATCH(A442,table_spot_rate!A$1:A$2000,0))</f>
        <v>0.0544265134284212</v>
      </c>
      <c r="K442" s="0" t="n">
        <f aca="false">(1+J442)^(-A442*constant!$B$1)</f>
        <v>0.143241332409423</v>
      </c>
      <c r="L442" s="0" t="n">
        <f aca="false">K442*I442</f>
        <v>0.125010535108844</v>
      </c>
    </row>
    <row r="443" customFormat="false" ht="12.8" hidden="false" customHeight="false" outlineLevel="0" collapsed="false">
      <c r="A443" s="0" t="n">
        <v>441</v>
      </c>
      <c r="B443" s="0" t="n">
        <f aca="false">calc_cohort!D$2+constant!$B$1*A443</f>
        <v>67.95</v>
      </c>
      <c r="C443" s="0" t="n">
        <f aca="false">_xlfn.FLOOR.MATH(B443)</f>
        <v>67</v>
      </c>
      <c r="D443" s="4" t="n">
        <f aca="false">INDEX(table_mortality_rate!$A$1:$C$2000,MATCH(C443,table_mortality_rate!$A$1:$A$2000,0),MATCH(calc_cohort!$E$2,table_mortality_rate!A$1:C$1,0))</f>
        <v>0.017824</v>
      </c>
      <c r="E443" s="0" t="n">
        <f aca="false">(1-D443)^constant!$B$1</f>
        <v>0.998502392483563</v>
      </c>
      <c r="F443" s="0" t="n">
        <f aca="false">IF(A443=0,1,F442*E443)</f>
        <v>0.847409753330876</v>
      </c>
      <c r="G443" s="5" t="b">
        <f aca="false">B443&gt;=calc_cohort!C$2</f>
        <v>1</v>
      </c>
      <c r="H443" s="0" t="n">
        <f aca="false">IF(G443,1,0)</f>
        <v>1</v>
      </c>
      <c r="I443" s="0" t="n">
        <f aca="false">calc_cohort!$B$2*constant!$B$1*F443*H443</f>
        <v>0.871419696341918</v>
      </c>
      <c r="J443" s="0" t="n">
        <f aca="false">INDEX(table_spot_rate!B$1:B$2000,MATCH(A443,table_spot_rate!A$1:A$2000,0))</f>
        <v>0.0576848987540702</v>
      </c>
      <c r="K443" s="0" t="n">
        <f aca="false">(1+J443)^(-A443*constant!$B$1)</f>
        <v>0.127322699845504</v>
      </c>
      <c r="L443" s="0" t="n">
        <f aca="false">K443*I443</f>
        <v>0.110951508436802</v>
      </c>
    </row>
    <row r="444" customFormat="false" ht="12.8" hidden="false" customHeight="false" outlineLevel="0" collapsed="false">
      <c r="A444" s="0" t="n">
        <v>442</v>
      </c>
      <c r="B444" s="0" t="n">
        <f aca="false">calc_cohort!D$2+constant!$B$1*A444</f>
        <v>68.0333333333333</v>
      </c>
      <c r="C444" s="0" t="n">
        <f aca="false">_xlfn.FLOOR.MATH(B444)</f>
        <v>68</v>
      </c>
      <c r="D444" s="4" t="n">
        <f aca="false">INDEX(table_mortality_rate!$A$1:$C$2000,MATCH(C444,table_mortality_rate!$A$1:$A$2000,0),MATCH(calc_cohort!$E$2,table_mortality_rate!A$1:C$1,0))</f>
        <v>0.019913</v>
      </c>
      <c r="E444" s="0" t="n">
        <f aca="false">(1-D444)^constant!$B$1</f>
        <v>0.998325242661532</v>
      </c>
      <c r="F444" s="0" t="n">
        <f aca="false">IF(A444=0,1,F443*E444)</f>
        <v>0.845990547627796</v>
      </c>
      <c r="G444" s="5" t="b">
        <f aca="false">B444&gt;=calc_cohort!C$2</f>
        <v>1</v>
      </c>
      <c r="H444" s="0" t="n">
        <f aca="false">IF(G444,1,0)</f>
        <v>1</v>
      </c>
      <c r="I444" s="0" t="n">
        <f aca="false">calc_cohort!$B$2*constant!$B$1*F444*H444</f>
        <v>0.869960279810583</v>
      </c>
      <c r="J444" s="0" t="n">
        <f aca="false">INDEX(table_spot_rate!B$1:B$2000,MATCH(A444,table_spot_rate!A$1:A$2000,0))</f>
        <v>0.0553967501737621</v>
      </c>
      <c r="K444" s="0" t="n">
        <f aca="false">(1+J444)^(-A444*constant!$B$1)</f>
        <v>0.13725234754894</v>
      </c>
      <c r="L444" s="0" t="n">
        <f aca="false">K444*I444</f>
        <v>0.119404090678335</v>
      </c>
    </row>
    <row r="445" customFormat="false" ht="12.8" hidden="false" customHeight="false" outlineLevel="0" collapsed="false">
      <c r="A445" s="0" t="n">
        <v>443</v>
      </c>
      <c r="B445" s="0" t="n">
        <f aca="false">calc_cohort!D$2+constant!$B$1*A445</f>
        <v>68.1166666666667</v>
      </c>
      <c r="C445" s="0" t="n">
        <f aca="false">_xlfn.FLOOR.MATH(B445)</f>
        <v>68</v>
      </c>
      <c r="D445" s="4" t="n">
        <f aca="false">INDEX(table_mortality_rate!$A$1:$C$2000,MATCH(C445,table_mortality_rate!$A$1:$A$2000,0),MATCH(calc_cohort!$E$2,table_mortality_rate!A$1:C$1,0))</f>
        <v>0.019913</v>
      </c>
      <c r="E445" s="0" t="n">
        <f aca="false">(1-D445)^constant!$B$1</f>
        <v>0.998325242661532</v>
      </c>
      <c r="F445" s="0" t="n">
        <f aca="false">IF(A445=0,1,F444*E445)</f>
        <v>0.844573718749881</v>
      </c>
      <c r="G445" s="5" t="b">
        <f aca="false">B445&gt;=calc_cohort!C$2</f>
        <v>1</v>
      </c>
      <c r="H445" s="0" t="n">
        <f aca="false">IF(G445,1,0)</f>
        <v>1</v>
      </c>
      <c r="I445" s="0" t="n">
        <f aca="false">calc_cohort!$B$2*constant!$B$1*F445*H445</f>
        <v>0.868503307447795</v>
      </c>
      <c r="J445" s="0" t="n">
        <f aca="false">INDEX(table_spot_rate!B$1:B$2000,MATCH(A445,table_spot_rate!A$1:A$2000,0))</f>
        <v>0.0533800284379243</v>
      </c>
      <c r="K445" s="0" t="n">
        <f aca="false">(1+J445)^(-A445*constant!$B$1)</f>
        <v>0.146633812557751</v>
      </c>
      <c r="L445" s="0" t="n">
        <f aca="false">K445*I445</f>
        <v>0.127351951190086</v>
      </c>
    </row>
    <row r="446" customFormat="false" ht="12.8" hidden="false" customHeight="false" outlineLevel="0" collapsed="false">
      <c r="A446" s="0" t="n">
        <v>444</v>
      </c>
      <c r="B446" s="0" t="n">
        <f aca="false">calc_cohort!D$2+constant!$B$1*A446</f>
        <v>68.2</v>
      </c>
      <c r="C446" s="0" t="n">
        <f aca="false">_xlfn.FLOOR.MATH(B446)</f>
        <v>68</v>
      </c>
      <c r="D446" s="4" t="n">
        <f aca="false">INDEX(table_mortality_rate!$A$1:$C$2000,MATCH(C446,table_mortality_rate!$A$1:$A$2000,0),MATCH(calc_cohort!$E$2,table_mortality_rate!A$1:C$1,0))</f>
        <v>0.019913</v>
      </c>
      <c r="E446" s="0" t="n">
        <f aca="false">(1-D446)^constant!$B$1</f>
        <v>0.998325242661532</v>
      </c>
      <c r="F446" s="0" t="n">
        <f aca="false">IF(A446=0,1,F445*E446)</f>
        <v>0.843159262716527</v>
      </c>
      <c r="G446" s="5" t="b">
        <f aca="false">B446&gt;=calc_cohort!C$2</f>
        <v>1</v>
      </c>
      <c r="H446" s="0" t="n">
        <f aca="false">IF(G446,1,0)</f>
        <v>1</v>
      </c>
      <c r="I446" s="0" t="n">
        <f aca="false">calc_cohort!$B$2*constant!$B$1*F446*H446</f>
        <v>0.867048775160162</v>
      </c>
      <c r="J446" s="0" t="n">
        <f aca="false">INDEX(table_spot_rate!B$1:B$2000,MATCH(A446,table_spot_rate!A$1:A$2000,0))</f>
        <v>0.0568847230893451</v>
      </c>
      <c r="K446" s="0" t="n">
        <f aca="false">(1+J446)^(-A446*constant!$B$1)</f>
        <v>0.12911540041879</v>
      </c>
      <c r="L446" s="0" t="n">
        <f aca="false">K446*I446</f>
        <v>0.111949349787425</v>
      </c>
    </row>
    <row r="447" customFormat="false" ht="12.8" hidden="false" customHeight="false" outlineLevel="0" collapsed="false">
      <c r="A447" s="0" t="n">
        <v>445</v>
      </c>
      <c r="B447" s="0" t="n">
        <f aca="false">calc_cohort!D$2+constant!$B$1*A447</f>
        <v>68.2833333333333</v>
      </c>
      <c r="C447" s="0" t="n">
        <f aca="false">_xlfn.FLOOR.MATH(B447)</f>
        <v>68</v>
      </c>
      <c r="D447" s="4" t="n">
        <f aca="false">INDEX(table_mortality_rate!$A$1:$C$2000,MATCH(C447,table_mortality_rate!$A$1:$A$2000,0),MATCH(calc_cohort!$E$2,table_mortality_rate!A$1:C$1,0))</f>
        <v>0.019913</v>
      </c>
      <c r="E447" s="0" t="n">
        <f aca="false">(1-D447)^constant!$B$1</f>
        <v>0.998325242661532</v>
      </c>
      <c r="F447" s="0" t="n">
        <f aca="false">IF(A447=0,1,F446*E447)</f>
        <v>0.841747175553795</v>
      </c>
      <c r="G447" s="5" t="b">
        <f aca="false">B447&gt;=calc_cohort!C$2</f>
        <v>1</v>
      </c>
      <c r="H447" s="0" t="n">
        <f aca="false">IF(G447,1,0)</f>
        <v>1</v>
      </c>
      <c r="I447" s="0" t="n">
        <f aca="false">calc_cohort!$B$2*constant!$B$1*F447*H447</f>
        <v>0.865596678861153</v>
      </c>
      <c r="J447" s="0" t="n">
        <f aca="false">INDEX(table_spot_rate!B$1:B$2000,MATCH(A447,table_spot_rate!A$1:A$2000,0))</f>
        <v>0.0560082534575998</v>
      </c>
      <c r="K447" s="0" t="n">
        <f aca="false">(1+J447)^(-A447*constant!$B$1)</f>
        <v>0.13253700739664</v>
      </c>
      <c r="L447" s="0" t="n">
        <f aca="false">K447*I447</f>
        <v>0.114723593428728</v>
      </c>
    </row>
    <row r="448" customFormat="false" ht="12.8" hidden="false" customHeight="false" outlineLevel="0" collapsed="false">
      <c r="A448" s="0" t="n">
        <v>446</v>
      </c>
      <c r="B448" s="0" t="n">
        <f aca="false">calc_cohort!D$2+constant!$B$1*A448</f>
        <v>68.3666666666667</v>
      </c>
      <c r="C448" s="0" t="n">
        <f aca="false">_xlfn.FLOOR.MATH(B448)</f>
        <v>68</v>
      </c>
      <c r="D448" s="4" t="n">
        <f aca="false">INDEX(table_mortality_rate!$A$1:$C$2000,MATCH(C448,table_mortality_rate!$A$1:$A$2000,0),MATCH(calc_cohort!$E$2,table_mortality_rate!A$1:C$1,0))</f>
        <v>0.019913</v>
      </c>
      <c r="E448" s="0" t="n">
        <f aca="false">(1-D448)^constant!$B$1</f>
        <v>0.998325242661532</v>
      </c>
      <c r="F448" s="0" t="n">
        <f aca="false">IF(A448=0,1,F447*E448)</f>
        <v>0.840337453294402</v>
      </c>
      <c r="G448" s="5" t="b">
        <f aca="false">B448&gt;=calc_cohort!C$2</f>
        <v>1</v>
      </c>
      <c r="H448" s="0" t="n">
        <f aca="false">IF(G448,1,0)</f>
        <v>1</v>
      </c>
      <c r="I448" s="0" t="n">
        <f aca="false">calc_cohort!$B$2*constant!$B$1*F448*H448</f>
        <v>0.864147014471076</v>
      </c>
      <c r="J448" s="0" t="n">
        <f aca="false">INDEX(table_spot_rate!B$1:B$2000,MATCH(A448,table_spot_rate!A$1:A$2000,0))</f>
        <v>0.0531006292497722</v>
      </c>
      <c r="K448" s="0" t="n">
        <f aca="false">(1+J448)^(-A448*constant!$B$1)</f>
        <v>0.146173870732045</v>
      </c>
      <c r="L448" s="0" t="n">
        <f aca="false">K448*I448</f>
        <v>0.126315713986778</v>
      </c>
    </row>
    <row r="449" customFormat="false" ht="12.8" hidden="false" customHeight="false" outlineLevel="0" collapsed="false">
      <c r="A449" s="0" t="n">
        <v>447</v>
      </c>
      <c r="B449" s="0" t="n">
        <f aca="false">calc_cohort!D$2+constant!$B$1*A449</f>
        <v>68.45</v>
      </c>
      <c r="C449" s="0" t="n">
        <f aca="false">_xlfn.FLOOR.MATH(B449)</f>
        <v>68</v>
      </c>
      <c r="D449" s="4" t="n">
        <f aca="false">INDEX(table_mortality_rate!$A$1:$C$2000,MATCH(C449,table_mortality_rate!$A$1:$A$2000,0),MATCH(calc_cohort!$E$2,table_mortality_rate!A$1:C$1,0))</f>
        <v>0.019913</v>
      </c>
      <c r="E449" s="0" t="n">
        <f aca="false">(1-D449)^constant!$B$1</f>
        <v>0.998325242661532</v>
      </c>
      <c r="F449" s="0" t="n">
        <f aca="false">IF(A449=0,1,F448*E449)</f>
        <v>0.838930091977707</v>
      </c>
      <c r="G449" s="5" t="b">
        <f aca="false">B449&gt;=calc_cohort!C$2</f>
        <v>1</v>
      </c>
      <c r="H449" s="0" t="n">
        <f aca="false">IF(G449,1,0)</f>
        <v>1</v>
      </c>
      <c r="I449" s="0" t="n">
        <f aca="false">calc_cohort!$B$2*constant!$B$1*F449*H449</f>
        <v>0.862699777917075</v>
      </c>
      <c r="J449" s="0" t="n">
        <f aca="false">INDEX(table_spot_rate!B$1:B$2000,MATCH(A449,table_spot_rate!A$1:A$2000,0))</f>
        <v>0.0597242469602834</v>
      </c>
      <c r="K449" s="0" t="n">
        <f aca="false">(1+J449)^(-A449*constant!$B$1)</f>
        <v>0.115229995281571</v>
      </c>
      <c r="L449" s="0" t="n">
        <f aca="false">K449*I449</f>
        <v>0.0994088913387973</v>
      </c>
    </row>
    <row r="450" customFormat="false" ht="12.8" hidden="false" customHeight="false" outlineLevel="0" collapsed="false">
      <c r="A450" s="0" t="n">
        <v>448</v>
      </c>
      <c r="B450" s="0" t="n">
        <f aca="false">calc_cohort!D$2+constant!$B$1*A450</f>
        <v>68.5333333333333</v>
      </c>
      <c r="C450" s="0" t="n">
        <f aca="false">_xlfn.FLOOR.MATH(B450)</f>
        <v>68</v>
      </c>
      <c r="D450" s="4" t="n">
        <f aca="false">INDEX(table_mortality_rate!$A$1:$C$2000,MATCH(C450,table_mortality_rate!$A$1:$A$2000,0),MATCH(calc_cohort!$E$2,table_mortality_rate!A$1:C$1,0))</f>
        <v>0.019913</v>
      </c>
      <c r="E450" s="0" t="n">
        <f aca="false">(1-D450)^constant!$B$1</f>
        <v>0.998325242661532</v>
      </c>
      <c r="F450" s="0" t="n">
        <f aca="false">IF(A450=0,1,F449*E450)</f>
        <v>0.837525087649705</v>
      </c>
      <c r="G450" s="5" t="b">
        <f aca="false">B450&gt;=calc_cohort!C$2</f>
        <v>1</v>
      </c>
      <c r="H450" s="0" t="n">
        <f aca="false">IF(G450,1,0)</f>
        <v>1</v>
      </c>
      <c r="I450" s="0" t="n">
        <f aca="false">calc_cohort!$B$2*constant!$B$1*F450*H450</f>
        <v>0.861254965133114</v>
      </c>
      <c r="J450" s="0" t="n">
        <f aca="false">INDEX(table_spot_rate!B$1:B$2000,MATCH(A450,table_spot_rate!A$1:A$2000,0))</f>
        <v>0.0555489696941146</v>
      </c>
      <c r="K450" s="0" t="n">
        <f aca="false">(1+J450)^(-A450*constant!$B$1)</f>
        <v>0.132884272404372</v>
      </c>
      <c r="L450" s="0" t="n">
        <f aca="false">K450*I450</f>
        <v>0.114447239396366</v>
      </c>
    </row>
    <row r="451" customFormat="false" ht="12.8" hidden="false" customHeight="false" outlineLevel="0" collapsed="false">
      <c r="A451" s="0" t="n">
        <v>449</v>
      </c>
      <c r="B451" s="0" t="n">
        <f aca="false">calc_cohort!D$2+constant!$B$1*A451</f>
        <v>68.6166666666667</v>
      </c>
      <c r="C451" s="0" t="n">
        <f aca="false">_xlfn.FLOOR.MATH(B451)</f>
        <v>68</v>
      </c>
      <c r="D451" s="4" t="n">
        <f aca="false">INDEX(table_mortality_rate!$A$1:$C$2000,MATCH(C451,table_mortality_rate!$A$1:$A$2000,0),MATCH(calc_cohort!$E$2,table_mortality_rate!A$1:C$1,0))</f>
        <v>0.019913</v>
      </c>
      <c r="E451" s="0" t="n">
        <f aca="false">(1-D451)^constant!$B$1</f>
        <v>0.998325242661532</v>
      </c>
      <c r="F451" s="0" t="n">
        <f aca="false">IF(A451=0,1,F450*E451)</f>
        <v>0.836122436363013</v>
      </c>
      <c r="G451" s="5" t="b">
        <f aca="false">B451&gt;=calc_cohort!C$2</f>
        <v>1</v>
      </c>
      <c r="H451" s="0" t="n">
        <f aca="false">IF(G451,1,0)</f>
        <v>1</v>
      </c>
      <c r="I451" s="0" t="n">
        <f aca="false">calc_cohort!$B$2*constant!$B$1*F451*H451</f>
        <v>0.859812572059965</v>
      </c>
      <c r="J451" s="0" t="n">
        <f aca="false">INDEX(table_spot_rate!B$1:B$2000,MATCH(A451,table_spot_rate!A$1:A$2000,0))</f>
        <v>0.0590083422544743</v>
      </c>
      <c r="K451" s="0" t="n">
        <f aca="false">(1+J451)^(-A451*constant!$B$1)</f>
        <v>0.117043729531853</v>
      </c>
      <c r="L451" s="0" t="n">
        <f aca="false">K451*I451</f>
        <v>0.100635670132273</v>
      </c>
    </row>
    <row r="452" customFormat="false" ht="12.8" hidden="false" customHeight="false" outlineLevel="0" collapsed="false">
      <c r="A452" s="0" t="n">
        <v>450</v>
      </c>
      <c r="B452" s="0" t="n">
        <f aca="false">calc_cohort!D$2+constant!$B$1*A452</f>
        <v>68.7</v>
      </c>
      <c r="C452" s="0" t="n">
        <f aca="false">_xlfn.FLOOR.MATH(B452)</f>
        <v>68</v>
      </c>
      <c r="D452" s="4" t="n">
        <f aca="false">INDEX(table_mortality_rate!$A$1:$C$2000,MATCH(C452,table_mortality_rate!$A$1:$A$2000,0),MATCH(calc_cohort!$E$2,table_mortality_rate!A$1:C$1,0))</f>
        <v>0.019913</v>
      </c>
      <c r="E452" s="0" t="n">
        <f aca="false">(1-D452)^constant!$B$1</f>
        <v>0.998325242661532</v>
      </c>
      <c r="F452" s="0" t="n">
        <f aca="false">IF(A452=0,1,F451*E452)</f>
        <v>0.834722134176856</v>
      </c>
      <c r="G452" s="5" t="b">
        <f aca="false">B452&gt;=calc_cohort!C$2</f>
        <v>1</v>
      </c>
      <c r="H452" s="0" t="n">
        <f aca="false">IF(G452,1,0)</f>
        <v>1</v>
      </c>
      <c r="I452" s="0" t="n">
        <f aca="false">calc_cohort!$B$2*constant!$B$1*F452*H452</f>
        <v>0.8583725946452</v>
      </c>
      <c r="J452" s="0" t="n">
        <f aca="false">INDEX(table_spot_rate!B$1:B$2000,MATCH(A452,table_spot_rate!A$1:A$2000,0))</f>
        <v>0.0557432490700345</v>
      </c>
      <c r="K452" s="0" t="n">
        <f aca="false">(1+J452)^(-A452*constant!$B$1)</f>
        <v>0.130786603630342</v>
      </c>
      <c r="L452" s="0" t="n">
        <f aca="false">K452*I452</f>
        <v>0.11226363630301</v>
      </c>
    </row>
    <row r="453" customFormat="false" ht="12.8" hidden="false" customHeight="false" outlineLevel="0" collapsed="false">
      <c r="A453" s="0" t="n">
        <v>451</v>
      </c>
      <c r="B453" s="0" t="n">
        <f aca="false">calc_cohort!D$2+constant!$B$1*A453</f>
        <v>68.7833333333333</v>
      </c>
      <c r="C453" s="0" t="n">
        <f aca="false">_xlfn.FLOOR.MATH(B453)</f>
        <v>68</v>
      </c>
      <c r="D453" s="4" t="n">
        <f aca="false">INDEX(table_mortality_rate!$A$1:$C$2000,MATCH(C453,table_mortality_rate!$A$1:$A$2000,0),MATCH(calc_cohort!$E$2,table_mortality_rate!A$1:C$1,0))</f>
        <v>0.019913</v>
      </c>
      <c r="E453" s="0" t="n">
        <f aca="false">(1-D453)^constant!$B$1</f>
        <v>0.998325242661532</v>
      </c>
      <c r="F453" s="0" t="n">
        <f aca="false">IF(A453=0,1,F452*E453)</f>
        <v>0.833324177157061</v>
      </c>
      <c r="G453" s="5" t="b">
        <f aca="false">B453&gt;=calc_cohort!C$2</f>
        <v>1</v>
      </c>
      <c r="H453" s="0" t="n">
        <f aca="false">IF(G453,1,0)</f>
        <v>1</v>
      </c>
      <c r="I453" s="0" t="n">
        <f aca="false">calc_cohort!$B$2*constant!$B$1*F453*H453</f>
        <v>0.856935028843178</v>
      </c>
      <c r="J453" s="0" t="n">
        <f aca="false">INDEX(table_spot_rate!B$1:B$2000,MATCH(A453,table_spot_rate!A$1:A$2000,0))</f>
        <v>0.0557643151190626</v>
      </c>
      <c r="K453" s="0" t="n">
        <f aca="false">(1+J453)^(-A453*constant!$B$1)</f>
        <v>0.130099127003042</v>
      </c>
      <c r="L453" s="0" t="n">
        <f aca="false">K453*I453</f>
        <v>0.111486499150824</v>
      </c>
    </row>
    <row r="454" customFormat="false" ht="12.8" hidden="false" customHeight="false" outlineLevel="0" collapsed="false">
      <c r="A454" s="0" t="n">
        <v>452</v>
      </c>
      <c r="B454" s="0" t="n">
        <f aca="false">calc_cohort!D$2+constant!$B$1*A454</f>
        <v>68.8666666666667</v>
      </c>
      <c r="C454" s="0" t="n">
        <f aca="false">_xlfn.FLOOR.MATH(B454)</f>
        <v>68</v>
      </c>
      <c r="D454" s="4" t="n">
        <f aca="false">INDEX(table_mortality_rate!$A$1:$C$2000,MATCH(C454,table_mortality_rate!$A$1:$A$2000,0),MATCH(calc_cohort!$E$2,table_mortality_rate!A$1:C$1,0))</f>
        <v>0.019913</v>
      </c>
      <c r="E454" s="0" t="n">
        <f aca="false">(1-D454)^constant!$B$1</f>
        <v>0.998325242661532</v>
      </c>
      <c r="F454" s="0" t="n">
        <f aca="false">IF(A454=0,1,F453*E454)</f>
        <v>0.831928561376044</v>
      </c>
      <c r="G454" s="5" t="b">
        <f aca="false">B454&gt;=calc_cohort!C$2</f>
        <v>1</v>
      </c>
      <c r="H454" s="0" t="n">
        <f aca="false">IF(G454,1,0)</f>
        <v>1</v>
      </c>
      <c r="I454" s="0" t="n">
        <f aca="false">calc_cohort!$B$2*constant!$B$1*F454*H454</f>
        <v>0.855499870615032</v>
      </c>
      <c r="J454" s="0" t="n">
        <f aca="false">INDEX(table_spot_rate!B$1:B$2000,MATCH(A454,table_spot_rate!A$1:A$2000,0))</f>
        <v>0.0515989898439219</v>
      </c>
      <c r="K454" s="0" t="n">
        <f aca="false">(1+J454)^(-A454*constant!$B$1)</f>
        <v>0.150306339068082</v>
      </c>
      <c r="L454" s="0" t="n">
        <f aca="false">K454*I454</f>
        <v>0.128587053625363</v>
      </c>
    </row>
    <row r="455" customFormat="false" ht="12.8" hidden="false" customHeight="false" outlineLevel="0" collapsed="false">
      <c r="A455" s="0" t="n">
        <v>453</v>
      </c>
      <c r="B455" s="0" t="n">
        <f aca="false">calc_cohort!D$2+constant!$B$1*A455</f>
        <v>68.95</v>
      </c>
      <c r="C455" s="0" t="n">
        <f aca="false">_xlfn.FLOOR.MATH(B455)</f>
        <v>68</v>
      </c>
      <c r="D455" s="4" t="n">
        <f aca="false">INDEX(table_mortality_rate!$A$1:$C$2000,MATCH(C455,table_mortality_rate!$A$1:$A$2000,0),MATCH(calc_cohort!$E$2,table_mortality_rate!A$1:C$1,0))</f>
        <v>0.019913</v>
      </c>
      <c r="E455" s="0" t="n">
        <f aca="false">(1-D455)^constant!$B$1</f>
        <v>0.998325242661532</v>
      </c>
      <c r="F455" s="0" t="n">
        <f aca="false">IF(A455=0,1,F454*E455)</f>
        <v>0.830535282912798</v>
      </c>
      <c r="G455" s="5" t="b">
        <f aca="false">B455&gt;=calc_cohort!C$2</f>
        <v>1</v>
      </c>
      <c r="H455" s="0" t="n">
        <f aca="false">IF(G455,1,0)</f>
        <v>1</v>
      </c>
      <c r="I455" s="0" t="n">
        <f aca="false">calc_cohort!$B$2*constant!$B$1*F455*H455</f>
        <v>0.854067115928661</v>
      </c>
      <c r="J455" s="0" t="n">
        <f aca="false">INDEX(table_spot_rate!B$1:B$2000,MATCH(A455,table_spot_rate!A$1:A$2000,0))</f>
        <v>0.0501316186581051</v>
      </c>
      <c r="K455" s="0" t="n">
        <f aca="false">(1+J455)^(-A455*constant!$B$1)</f>
        <v>0.157778929677548</v>
      </c>
      <c r="L455" s="0" t="n">
        <f aca="false">K455*I455</f>
        <v>0.134753795424015</v>
      </c>
    </row>
    <row r="456" customFormat="false" ht="12.8" hidden="false" customHeight="false" outlineLevel="0" collapsed="false">
      <c r="A456" s="0" t="n">
        <v>454</v>
      </c>
      <c r="B456" s="0" t="n">
        <f aca="false">calc_cohort!D$2+constant!$B$1*A456</f>
        <v>69.0333333333333</v>
      </c>
      <c r="C456" s="0" t="n">
        <f aca="false">_xlfn.FLOOR.MATH(B456)</f>
        <v>69</v>
      </c>
      <c r="D456" s="4" t="n">
        <f aca="false">INDEX(table_mortality_rate!$A$1:$C$2000,MATCH(C456,table_mortality_rate!$A$1:$A$2000,0),MATCH(calc_cohort!$E$2,table_mortality_rate!A$1:C$1,0))</f>
        <v>0.022226</v>
      </c>
      <c r="E456" s="0" t="n">
        <f aca="false">(1-D456)^constant!$B$1</f>
        <v>0.998128693124099</v>
      </c>
      <c r="F456" s="0" t="n">
        <f aca="false">IF(A456=0,1,F455*E456)</f>
        <v>0.828981096527205</v>
      </c>
      <c r="G456" s="5" t="b">
        <f aca="false">B456&gt;=calc_cohort!C$2</f>
        <v>1</v>
      </c>
      <c r="H456" s="0" t="n">
        <f aca="false">IF(G456,1,0)</f>
        <v>1</v>
      </c>
      <c r="I456" s="0" t="n">
        <f aca="false">calc_cohort!$B$2*constant!$B$1*F456*H456</f>
        <v>0.852468894262143</v>
      </c>
      <c r="J456" s="0" t="n">
        <f aca="false">INDEX(table_spot_rate!B$1:B$2000,MATCH(A456,table_spot_rate!A$1:A$2000,0))</f>
        <v>0.057952253615157</v>
      </c>
      <c r="K456" s="0" t="n">
        <f aca="false">(1+J456)^(-A456*constant!$B$1)</f>
        <v>0.118677145872855</v>
      </c>
      <c r="L456" s="0" t="n">
        <f aca="false">K456*I456</f>
        <v>0.10116857531642</v>
      </c>
    </row>
    <row r="457" customFormat="false" ht="12.8" hidden="false" customHeight="false" outlineLevel="0" collapsed="false">
      <c r="A457" s="0" t="n">
        <v>455</v>
      </c>
      <c r="B457" s="0" t="n">
        <f aca="false">calc_cohort!D$2+constant!$B$1*A457</f>
        <v>69.1166666666667</v>
      </c>
      <c r="C457" s="0" t="n">
        <f aca="false">_xlfn.FLOOR.MATH(B457)</f>
        <v>69</v>
      </c>
      <c r="D457" s="4" t="n">
        <f aca="false">INDEX(table_mortality_rate!$A$1:$C$2000,MATCH(C457,table_mortality_rate!$A$1:$A$2000,0),MATCH(calc_cohort!$E$2,table_mortality_rate!A$1:C$1,0))</f>
        <v>0.022226</v>
      </c>
      <c r="E457" s="0" t="n">
        <f aca="false">(1-D457)^constant!$B$1</f>
        <v>0.998128693124099</v>
      </c>
      <c r="F457" s="0" t="n">
        <f aca="false">IF(A457=0,1,F456*E457)</f>
        <v>0.827429818501282</v>
      </c>
      <c r="G457" s="5" t="b">
        <f aca="false">B457&gt;=calc_cohort!C$2</f>
        <v>1</v>
      </c>
      <c r="H457" s="0" t="n">
        <f aca="false">IF(G457,1,0)</f>
        <v>1</v>
      </c>
      <c r="I457" s="0" t="n">
        <f aca="false">calc_cohort!$B$2*constant!$B$1*F457*H457</f>
        <v>0.850873663358818</v>
      </c>
      <c r="J457" s="0" t="n">
        <f aca="false">INDEX(table_spot_rate!B$1:B$2000,MATCH(A457,table_spot_rate!A$1:A$2000,0))</f>
        <v>0.0571094762792618</v>
      </c>
      <c r="K457" s="0" t="n">
        <f aca="false">(1+J457)^(-A457*constant!$B$1)</f>
        <v>0.121745043453066</v>
      </c>
      <c r="L457" s="0" t="n">
        <f aca="false">K457*I457</f>
        <v>0.103589651118689</v>
      </c>
    </row>
    <row r="458" customFormat="false" ht="12.8" hidden="false" customHeight="false" outlineLevel="0" collapsed="false">
      <c r="A458" s="0" t="n">
        <v>456</v>
      </c>
      <c r="B458" s="0" t="n">
        <f aca="false">calc_cohort!D$2+constant!$B$1*A458</f>
        <v>69.2</v>
      </c>
      <c r="C458" s="0" t="n">
        <f aca="false">_xlfn.FLOOR.MATH(B458)</f>
        <v>69</v>
      </c>
      <c r="D458" s="4" t="n">
        <f aca="false">INDEX(table_mortality_rate!$A$1:$C$2000,MATCH(C458,table_mortality_rate!$A$1:$A$2000,0),MATCH(calc_cohort!$E$2,table_mortality_rate!A$1:C$1,0))</f>
        <v>0.022226</v>
      </c>
      <c r="E458" s="0" t="n">
        <f aca="false">(1-D458)^constant!$B$1</f>
        <v>0.998128693124099</v>
      </c>
      <c r="F458" s="0" t="n">
        <f aca="false">IF(A458=0,1,F457*E458)</f>
        <v>0.825881443392595</v>
      </c>
      <c r="G458" s="5" t="b">
        <f aca="false">B458&gt;=calc_cohort!C$2</f>
        <v>1</v>
      </c>
      <c r="H458" s="0" t="n">
        <f aca="false">IF(G458,1,0)</f>
        <v>1</v>
      </c>
      <c r="I458" s="0" t="n">
        <f aca="false">calc_cohort!$B$2*constant!$B$1*F458*H458</f>
        <v>0.849281417622052</v>
      </c>
      <c r="J458" s="0" t="n">
        <f aca="false">INDEX(table_spot_rate!B$1:B$2000,MATCH(A458,table_spot_rate!A$1:A$2000,0))</f>
        <v>0.0536677218137897</v>
      </c>
      <c r="K458" s="0" t="n">
        <f aca="false">(1+J458)^(-A458*constant!$B$1)</f>
        <v>0.137170370309406</v>
      </c>
      <c r="L458" s="0" t="n">
        <f aca="false">K458*I458</f>
        <v>0.116496246552114</v>
      </c>
    </row>
    <row r="459" customFormat="false" ht="12.8" hidden="false" customHeight="false" outlineLevel="0" collapsed="false">
      <c r="A459" s="0" t="n">
        <v>457</v>
      </c>
      <c r="B459" s="0" t="n">
        <f aca="false">calc_cohort!D$2+constant!$B$1*A459</f>
        <v>69.2833333333333</v>
      </c>
      <c r="C459" s="0" t="n">
        <f aca="false">_xlfn.FLOOR.MATH(B459)</f>
        <v>69</v>
      </c>
      <c r="D459" s="4" t="n">
        <f aca="false">INDEX(table_mortality_rate!$A$1:$C$2000,MATCH(C459,table_mortality_rate!$A$1:$A$2000,0),MATCH(calc_cohort!$E$2,table_mortality_rate!A$1:C$1,0))</f>
        <v>0.022226</v>
      </c>
      <c r="E459" s="0" t="n">
        <f aca="false">(1-D459)^constant!$B$1</f>
        <v>0.998128693124099</v>
      </c>
      <c r="F459" s="0" t="n">
        <f aca="false">IF(A459=0,1,F458*E459)</f>
        <v>0.824335965768896</v>
      </c>
      <c r="G459" s="5" t="b">
        <f aca="false">B459&gt;=calc_cohort!C$2</f>
        <v>1</v>
      </c>
      <c r="H459" s="0" t="n">
        <f aca="false">IF(G459,1,0)</f>
        <v>1</v>
      </c>
      <c r="I459" s="0" t="n">
        <f aca="false">calc_cohort!$B$2*constant!$B$1*F459*H459</f>
        <v>0.847692151465681</v>
      </c>
      <c r="J459" s="0" t="n">
        <f aca="false">INDEX(table_spot_rate!B$1:B$2000,MATCH(A459,table_spot_rate!A$1:A$2000,0))</f>
        <v>0.0592714183115013</v>
      </c>
      <c r="K459" s="0" t="n">
        <f aca="false">(1+J459)^(-A459*constant!$B$1)</f>
        <v>0.111593887024823</v>
      </c>
      <c r="L459" s="0" t="n">
        <f aca="false">K459*I459</f>
        <v>0.0945972621824905</v>
      </c>
    </row>
    <row r="460" customFormat="false" ht="12.8" hidden="false" customHeight="false" outlineLevel="0" collapsed="false">
      <c r="A460" s="0" t="n">
        <v>458</v>
      </c>
      <c r="B460" s="0" t="n">
        <f aca="false">calc_cohort!D$2+constant!$B$1*A460</f>
        <v>69.3666666666667</v>
      </c>
      <c r="C460" s="0" t="n">
        <f aca="false">_xlfn.FLOOR.MATH(B460)</f>
        <v>69</v>
      </c>
      <c r="D460" s="4" t="n">
        <f aca="false">INDEX(table_mortality_rate!$A$1:$C$2000,MATCH(C460,table_mortality_rate!$A$1:$A$2000,0),MATCH(calc_cohort!$E$2,table_mortality_rate!A$1:C$1,0))</f>
        <v>0.022226</v>
      </c>
      <c r="E460" s="0" t="n">
        <f aca="false">(1-D460)^constant!$B$1</f>
        <v>0.998128693124099</v>
      </c>
      <c r="F460" s="0" t="n">
        <f aca="false">IF(A460=0,1,F459*E460)</f>
        <v>0.8227933802081</v>
      </c>
      <c r="G460" s="5" t="b">
        <f aca="false">B460&gt;=calc_cohort!C$2</f>
        <v>1</v>
      </c>
      <c r="H460" s="0" t="n">
        <f aca="false">IF(G460,1,0)</f>
        <v>1</v>
      </c>
      <c r="I460" s="0" t="n">
        <f aca="false">calc_cohort!$B$2*constant!$B$1*F460*H460</f>
        <v>0.846105859313996</v>
      </c>
      <c r="J460" s="0" t="n">
        <f aca="false">INDEX(table_spot_rate!B$1:B$2000,MATCH(A460,table_spot_rate!A$1:A$2000,0))</f>
        <v>0.0516614184964552</v>
      </c>
      <c r="K460" s="0" t="n">
        <f aca="false">(1+J460)^(-A460*constant!$B$1)</f>
        <v>0.146240690743194</v>
      </c>
      <c r="L460" s="0" t="n">
        <f aca="false">K460*I460</f>
        <v>0.123735105307943</v>
      </c>
    </row>
    <row r="461" customFormat="false" ht="12.8" hidden="false" customHeight="false" outlineLevel="0" collapsed="false">
      <c r="A461" s="0" t="n">
        <v>459</v>
      </c>
      <c r="B461" s="0" t="n">
        <f aca="false">calc_cohort!D$2+constant!$B$1*A461</f>
        <v>69.45</v>
      </c>
      <c r="C461" s="0" t="n">
        <f aca="false">_xlfn.FLOOR.MATH(B461)</f>
        <v>69</v>
      </c>
      <c r="D461" s="4" t="n">
        <f aca="false">INDEX(table_mortality_rate!$A$1:$C$2000,MATCH(C461,table_mortality_rate!$A$1:$A$2000,0),MATCH(calc_cohort!$E$2,table_mortality_rate!A$1:C$1,0))</f>
        <v>0.022226</v>
      </c>
      <c r="E461" s="0" t="n">
        <f aca="false">(1-D461)^constant!$B$1</f>
        <v>0.998128693124099</v>
      </c>
      <c r="F461" s="0" t="n">
        <f aca="false">IF(A461=0,1,F460*E461)</f>
        <v>0.821253681298271</v>
      </c>
      <c r="G461" s="5" t="b">
        <f aca="false">B461&gt;=calc_cohort!C$2</f>
        <v>1</v>
      </c>
      <c r="H461" s="0" t="n">
        <f aca="false">IF(G461,1,0)</f>
        <v>1</v>
      </c>
      <c r="I461" s="0" t="n">
        <f aca="false">calc_cohort!$B$2*constant!$B$1*F461*H461</f>
        <v>0.844522535601722</v>
      </c>
      <c r="J461" s="0" t="n">
        <f aca="false">INDEX(table_spot_rate!B$1:B$2000,MATCH(A461,table_spot_rate!A$1:A$2000,0))</f>
        <v>0.0548582572565232</v>
      </c>
      <c r="K461" s="0" t="n">
        <f aca="false">(1+J461)^(-A461*constant!$B$1)</f>
        <v>0.129665791218197</v>
      </c>
      <c r="L461" s="0" t="n">
        <f aca="false">K461*I461</f>
        <v>0.109505682780395</v>
      </c>
    </row>
    <row r="462" customFormat="false" ht="12.8" hidden="false" customHeight="false" outlineLevel="0" collapsed="false">
      <c r="A462" s="0" t="n">
        <v>460</v>
      </c>
      <c r="B462" s="0" t="n">
        <f aca="false">calc_cohort!D$2+constant!$B$1*A462</f>
        <v>69.5333333333333</v>
      </c>
      <c r="C462" s="0" t="n">
        <f aca="false">_xlfn.FLOOR.MATH(B462)</f>
        <v>69</v>
      </c>
      <c r="D462" s="4" t="n">
        <f aca="false">INDEX(table_mortality_rate!$A$1:$C$2000,MATCH(C462,table_mortality_rate!$A$1:$A$2000,0),MATCH(calc_cohort!$E$2,table_mortality_rate!A$1:C$1,0))</f>
        <v>0.022226</v>
      </c>
      <c r="E462" s="0" t="n">
        <f aca="false">(1-D462)^constant!$B$1</f>
        <v>0.998128693124099</v>
      </c>
      <c r="F462" s="0" t="n">
        <f aca="false">IF(A462=0,1,F461*E462)</f>
        <v>0.819716863637598</v>
      </c>
      <c r="G462" s="5" t="b">
        <f aca="false">B462&gt;=calc_cohort!C$2</f>
        <v>1</v>
      </c>
      <c r="H462" s="0" t="n">
        <f aca="false">IF(G462,1,0)</f>
        <v>1</v>
      </c>
      <c r="I462" s="0" t="n">
        <f aca="false">calc_cohort!$B$2*constant!$B$1*F462*H462</f>
        <v>0.842942174773997</v>
      </c>
      <c r="J462" s="0" t="n">
        <f aca="false">INDEX(table_spot_rate!B$1:B$2000,MATCH(A462,table_spot_rate!A$1:A$2000,0))</f>
        <v>0.0598433719970173</v>
      </c>
      <c r="K462" s="0" t="n">
        <f aca="false">(1+J462)^(-A462*constant!$B$1)</f>
        <v>0.1077461976414</v>
      </c>
      <c r="L462" s="0" t="n">
        <f aca="false">K462*I462</f>
        <v>0.0908238141634706</v>
      </c>
    </row>
    <row r="463" customFormat="false" ht="12.8" hidden="false" customHeight="false" outlineLevel="0" collapsed="false">
      <c r="A463" s="0" t="n">
        <v>461</v>
      </c>
      <c r="B463" s="0" t="n">
        <f aca="false">calc_cohort!D$2+constant!$B$1*A463</f>
        <v>69.6166666666667</v>
      </c>
      <c r="C463" s="0" t="n">
        <f aca="false">_xlfn.FLOOR.MATH(B463)</f>
        <v>69</v>
      </c>
      <c r="D463" s="4" t="n">
        <f aca="false">INDEX(table_mortality_rate!$A$1:$C$2000,MATCH(C463,table_mortality_rate!$A$1:$A$2000,0),MATCH(calc_cohort!$E$2,table_mortality_rate!A$1:C$1,0))</f>
        <v>0.022226</v>
      </c>
      <c r="E463" s="0" t="n">
        <f aca="false">(1-D463)^constant!$B$1</f>
        <v>0.998128693124099</v>
      </c>
      <c r="F463" s="0" t="n">
        <f aca="false">IF(A463=0,1,F462*E463)</f>
        <v>0.818182921834382</v>
      </c>
      <c r="G463" s="5" t="b">
        <f aca="false">B463&gt;=calc_cohort!C$2</f>
        <v>1</v>
      </c>
      <c r="H463" s="0" t="n">
        <f aca="false">IF(G463,1,0)</f>
        <v>1</v>
      </c>
      <c r="I463" s="0" t="n">
        <f aca="false">calc_cohort!$B$2*constant!$B$1*F463*H463</f>
        <v>0.841364771286356</v>
      </c>
      <c r="J463" s="0" t="n">
        <f aca="false">INDEX(table_spot_rate!B$1:B$2000,MATCH(A463,table_spot_rate!A$1:A$2000,0))</f>
        <v>0.050603440192491</v>
      </c>
      <c r="K463" s="0" t="n">
        <f aca="false">(1+J463)^(-A463*constant!$B$1)</f>
        <v>0.150103926717003</v>
      </c>
      <c r="L463" s="0" t="n">
        <f aca="false">K463*I463</f>
        <v>0.126292155971435</v>
      </c>
    </row>
    <row r="464" customFormat="false" ht="12.8" hidden="false" customHeight="false" outlineLevel="0" collapsed="false">
      <c r="A464" s="0" t="n">
        <v>462</v>
      </c>
      <c r="B464" s="0" t="n">
        <f aca="false">calc_cohort!D$2+constant!$B$1*A464</f>
        <v>69.7</v>
      </c>
      <c r="C464" s="0" t="n">
        <f aca="false">_xlfn.FLOOR.MATH(B464)</f>
        <v>69</v>
      </c>
      <c r="D464" s="4" t="n">
        <f aca="false">INDEX(table_mortality_rate!$A$1:$C$2000,MATCH(C464,table_mortality_rate!$A$1:$A$2000,0),MATCH(calc_cohort!$E$2,table_mortality_rate!A$1:C$1,0))</f>
        <v>0.022226</v>
      </c>
      <c r="E464" s="0" t="n">
        <f aca="false">(1-D464)^constant!$B$1</f>
        <v>0.998128693124099</v>
      </c>
      <c r="F464" s="0" t="n">
        <f aca="false">IF(A464=0,1,F463*E464)</f>
        <v>0.816651850507008</v>
      </c>
      <c r="G464" s="5" t="b">
        <f aca="false">B464&gt;=calc_cohort!C$2</f>
        <v>1</v>
      </c>
      <c r="H464" s="0" t="n">
        <f aca="false">IF(G464,1,0)</f>
        <v>1</v>
      </c>
      <c r="I464" s="0" t="n">
        <f aca="false">calc_cohort!$B$2*constant!$B$1*F464*H464</f>
        <v>0.839790319604707</v>
      </c>
      <c r="J464" s="0" t="n">
        <f aca="false">INDEX(table_spot_rate!B$1:B$2000,MATCH(A464,table_spot_rate!A$1:A$2000,0))</f>
        <v>0.0563463988629718</v>
      </c>
      <c r="K464" s="0" t="n">
        <f aca="false">(1+J464)^(-A464*constant!$B$1)</f>
        <v>0.12118679205357</v>
      </c>
      <c r="L464" s="0" t="n">
        <f aca="false">K464*I464</f>
        <v>0.101771494830537</v>
      </c>
    </row>
    <row r="465" customFormat="false" ht="12.8" hidden="false" customHeight="false" outlineLevel="0" collapsed="false">
      <c r="A465" s="0" t="n">
        <v>463</v>
      </c>
      <c r="B465" s="0" t="n">
        <f aca="false">calc_cohort!D$2+constant!$B$1*A465</f>
        <v>69.7833333333333</v>
      </c>
      <c r="C465" s="0" t="n">
        <f aca="false">_xlfn.FLOOR.MATH(B465)</f>
        <v>69</v>
      </c>
      <c r="D465" s="4" t="n">
        <f aca="false">INDEX(table_mortality_rate!$A$1:$C$2000,MATCH(C465,table_mortality_rate!$A$1:$A$2000,0),MATCH(calc_cohort!$E$2,table_mortality_rate!A$1:C$1,0))</f>
        <v>0.022226</v>
      </c>
      <c r="E465" s="0" t="n">
        <f aca="false">(1-D465)^constant!$B$1</f>
        <v>0.998128693124099</v>
      </c>
      <c r="F465" s="0" t="n">
        <f aca="false">IF(A465=0,1,F464*E465)</f>
        <v>0.815123644283937</v>
      </c>
      <c r="G465" s="5" t="b">
        <f aca="false">B465&gt;=calc_cohort!C$2</f>
        <v>1</v>
      </c>
      <c r="H465" s="0" t="n">
        <f aca="false">IF(G465,1,0)</f>
        <v>1</v>
      </c>
      <c r="I465" s="0" t="n">
        <f aca="false">calc_cohort!$B$2*constant!$B$1*F465*H465</f>
        <v>0.838218814205315</v>
      </c>
      <c r="J465" s="0" t="n">
        <f aca="false">INDEX(table_spot_rate!B$1:B$2000,MATCH(A465,table_spot_rate!A$1:A$2000,0))</f>
        <v>0.056756577627319</v>
      </c>
      <c r="K465" s="0" t="n">
        <f aca="false">(1+J465)^(-A465*constant!$B$1)</f>
        <v>0.118840956274376</v>
      </c>
      <c r="L465" s="0" t="n">
        <f aca="false">K465*I465</f>
        <v>0.0996147254473333</v>
      </c>
    </row>
    <row r="466" customFormat="false" ht="12.8" hidden="false" customHeight="false" outlineLevel="0" collapsed="false">
      <c r="A466" s="0" t="n">
        <v>464</v>
      </c>
      <c r="B466" s="0" t="n">
        <f aca="false">calc_cohort!D$2+constant!$B$1*A466</f>
        <v>69.8666666666667</v>
      </c>
      <c r="C466" s="0" t="n">
        <f aca="false">_xlfn.FLOOR.MATH(B466)</f>
        <v>69</v>
      </c>
      <c r="D466" s="4" t="n">
        <f aca="false">INDEX(table_mortality_rate!$A$1:$C$2000,MATCH(C466,table_mortality_rate!$A$1:$A$2000,0),MATCH(calc_cohort!$E$2,table_mortality_rate!A$1:C$1,0))</f>
        <v>0.022226</v>
      </c>
      <c r="E466" s="0" t="n">
        <f aca="false">(1-D466)^constant!$B$1</f>
        <v>0.998128693124099</v>
      </c>
      <c r="F466" s="0" t="n">
        <f aca="false">IF(A466=0,1,F465*E466)</f>
        <v>0.813598297803679</v>
      </c>
      <c r="G466" s="5" t="b">
        <f aca="false">B466&gt;=calc_cohort!C$2</f>
        <v>1</v>
      </c>
      <c r="H466" s="0" t="n">
        <f aca="false">IF(G466,1,0)</f>
        <v>1</v>
      </c>
      <c r="I466" s="0" t="n">
        <f aca="false">calc_cohort!$B$2*constant!$B$1*F466*H466</f>
        <v>0.836650249574784</v>
      </c>
      <c r="J466" s="0" t="n">
        <f aca="false">INDEX(table_spot_rate!B$1:B$2000,MATCH(A466,table_spot_rate!A$1:A$2000,0))</f>
        <v>0.0587128386475325</v>
      </c>
      <c r="K466" s="0" t="n">
        <f aca="false">(1+J466)^(-A466*constant!$B$1)</f>
        <v>0.110131203913648</v>
      </c>
      <c r="L466" s="0" t="n">
        <f aca="false">K466*I466</f>
        <v>0.0921412992403247</v>
      </c>
    </row>
    <row r="467" customFormat="false" ht="12.8" hidden="false" customHeight="false" outlineLevel="0" collapsed="false">
      <c r="A467" s="0" t="n">
        <v>465</v>
      </c>
      <c r="B467" s="0" t="n">
        <f aca="false">calc_cohort!D$2+constant!$B$1*A467</f>
        <v>69.95</v>
      </c>
      <c r="C467" s="0" t="n">
        <f aca="false">_xlfn.FLOOR.MATH(B467)</f>
        <v>69</v>
      </c>
      <c r="D467" s="4" t="n">
        <f aca="false">INDEX(table_mortality_rate!$A$1:$C$2000,MATCH(C467,table_mortality_rate!$A$1:$A$2000,0),MATCH(calc_cohort!$E$2,table_mortality_rate!A$1:C$1,0))</f>
        <v>0.022226</v>
      </c>
      <c r="E467" s="0" t="n">
        <f aca="false">(1-D467)^constant!$B$1</f>
        <v>0.998128693124099</v>
      </c>
      <c r="F467" s="0" t="n">
        <f aca="false">IF(A467=0,1,F466*E467)</f>
        <v>0.812075805714778</v>
      </c>
      <c r="G467" s="5" t="b">
        <f aca="false">B467&gt;=calc_cohort!C$2</f>
        <v>1</v>
      </c>
      <c r="H467" s="0" t="n">
        <f aca="false">IF(G467,1,0)</f>
        <v>1</v>
      </c>
      <c r="I467" s="0" t="n">
        <f aca="false">calc_cohort!$B$2*constant!$B$1*F467*H467</f>
        <v>0.83508462021003</v>
      </c>
      <c r="J467" s="0" t="n">
        <f aca="false">INDEX(table_spot_rate!B$1:B$2000,MATCH(A467,table_spot_rate!A$1:A$2000,0))</f>
        <v>0.051346581033161</v>
      </c>
      <c r="K467" s="0" t="n">
        <f aca="false">(1+J467)^(-A467*constant!$B$1)</f>
        <v>0.143663391447148</v>
      </c>
      <c r="L467" s="0" t="n">
        <f aca="false">K467*I467</f>
        <v>0.119971088684726</v>
      </c>
    </row>
    <row r="468" customFormat="false" ht="12.8" hidden="false" customHeight="false" outlineLevel="0" collapsed="false">
      <c r="A468" s="0" t="n">
        <v>466</v>
      </c>
      <c r="B468" s="0" t="n">
        <f aca="false">calc_cohort!D$2+constant!$B$1*A468</f>
        <v>70.0333333333333</v>
      </c>
      <c r="C468" s="0" t="n">
        <f aca="false">_xlfn.FLOOR.MATH(B468)</f>
        <v>70</v>
      </c>
      <c r="D468" s="4" t="n">
        <f aca="false">INDEX(table_mortality_rate!$A$1:$C$2000,MATCH(C468,table_mortality_rate!$A$1:$A$2000,0),MATCH(calc_cohort!$E$2,table_mortality_rate!A$1:C$1,0))</f>
        <v>0.024783</v>
      </c>
      <c r="E468" s="0" t="n">
        <f aca="false">(1-D468)^constant!$B$1</f>
        <v>0.99791091279944</v>
      </c>
      <c r="F468" s="0" t="n">
        <f aca="false">IF(A468=0,1,F467*E468)</f>
        <v>0.810379308543174</v>
      </c>
      <c r="G468" s="5" t="b">
        <f aca="false">B468&gt;=calc_cohort!C$2</f>
        <v>1</v>
      </c>
      <c r="H468" s="0" t="n">
        <f aca="false">IF(G468,1,0)</f>
        <v>1</v>
      </c>
      <c r="I468" s="0" t="n">
        <f aca="false">calc_cohort!$B$2*constant!$B$1*F468*H468</f>
        <v>0.833340055618564</v>
      </c>
      <c r="J468" s="0" t="n">
        <f aca="false">INDEX(table_spot_rate!B$1:B$2000,MATCH(A468,table_spot_rate!A$1:A$2000,0))</f>
        <v>0.0592429026087086</v>
      </c>
      <c r="K468" s="0" t="n">
        <f aca="false">(1+J468)^(-A468*constant!$B$1)</f>
        <v>0.106988963727955</v>
      </c>
      <c r="L468" s="0" t="n">
        <f aca="false">K468*I468</f>
        <v>0.0891581889836268</v>
      </c>
    </row>
    <row r="469" customFormat="false" ht="12.8" hidden="false" customHeight="false" outlineLevel="0" collapsed="false">
      <c r="A469" s="0" t="n">
        <v>467</v>
      </c>
      <c r="B469" s="0" t="n">
        <f aca="false">calc_cohort!D$2+constant!$B$1*A469</f>
        <v>70.1166666666667</v>
      </c>
      <c r="C469" s="0" t="n">
        <f aca="false">_xlfn.FLOOR.MATH(B469)</f>
        <v>70</v>
      </c>
      <c r="D469" s="4" t="n">
        <f aca="false">INDEX(table_mortality_rate!$A$1:$C$2000,MATCH(C469,table_mortality_rate!$A$1:$A$2000,0),MATCH(calc_cohort!$E$2,table_mortality_rate!A$1:C$1,0))</f>
        <v>0.024783</v>
      </c>
      <c r="E469" s="0" t="n">
        <f aca="false">(1-D469)^constant!$B$1</f>
        <v>0.99791091279944</v>
      </c>
      <c r="F469" s="0" t="n">
        <f aca="false">IF(A469=0,1,F468*E469)</f>
        <v>0.808686355502098</v>
      </c>
      <c r="G469" s="5" t="b">
        <f aca="false">B469&gt;=calc_cohort!C$2</f>
        <v>1</v>
      </c>
      <c r="H469" s="0" t="n">
        <f aca="false">IF(G469,1,0)</f>
        <v>1</v>
      </c>
      <c r="I469" s="0" t="n">
        <f aca="false">calc_cohort!$B$2*constant!$B$1*F469*H469</f>
        <v>0.831599135574657</v>
      </c>
      <c r="J469" s="0" t="n">
        <f aca="false">INDEX(table_spot_rate!B$1:B$2000,MATCH(A469,table_spot_rate!A$1:A$2000,0))</f>
        <v>0.0598881780741757</v>
      </c>
      <c r="K469" s="0" t="n">
        <f aca="false">(1+J469)^(-A469*constant!$B$1)</f>
        <v>0.103983188075113</v>
      </c>
      <c r="L469" s="0" t="n">
        <f aca="false">K469*I469</f>
        <v>0.0864723293175608</v>
      </c>
    </row>
    <row r="470" customFormat="false" ht="12.8" hidden="false" customHeight="false" outlineLevel="0" collapsed="false">
      <c r="A470" s="0" t="n">
        <v>468</v>
      </c>
      <c r="B470" s="0" t="n">
        <f aca="false">calc_cohort!D$2+constant!$B$1*A470</f>
        <v>70.2</v>
      </c>
      <c r="C470" s="0" t="n">
        <f aca="false">_xlfn.FLOOR.MATH(B470)</f>
        <v>70</v>
      </c>
      <c r="D470" s="4" t="n">
        <f aca="false">INDEX(table_mortality_rate!$A$1:$C$2000,MATCH(C470,table_mortality_rate!$A$1:$A$2000,0),MATCH(calc_cohort!$E$2,table_mortality_rate!A$1:C$1,0))</f>
        <v>0.024783</v>
      </c>
      <c r="E470" s="0" t="n">
        <f aca="false">(1-D470)^constant!$B$1</f>
        <v>0.99791091279944</v>
      </c>
      <c r="F470" s="0" t="n">
        <f aca="false">IF(A470=0,1,F469*E470)</f>
        <v>0.806996939187551</v>
      </c>
      <c r="G470" s="5" t="b">
        <f aca="false">B470&gt;=calc_cohort!C$2</f>
        <v>1</v>
      </c>
      <c r="H470" s="0" t="n">
        <f aca="false">IF(G470,1,0)</f>
        <v>1</v>
      </c>
      <c r="I470" s="0" t="n">
        <f aca="false">calc_cohort!$B$2*constant!$B$1*F470*H470</f>
        <v>0.829861852464531</v>
      </c>
      <c r="J470" s="0" t="n">
        <f aca="false">INDEX(table_spot_rate!B$1:B$2000,MATCH(A470,table_spot_rate!A$1:A$2000,0))</f>
        <v>0.0542727042333877</v>
      </c>
      <c r="K470" s="0" t="n">
        <f aca="false">(1+J470)^(-A470*constant!$B$1)</f>
        <v>0.127301775825224</v>
      </c>
      <c r="L470" s="0" t="n">
        <f aca="false">K470*I470</f>
        <v>0.105642887508345</v>
      </c>
    </row>
    <row r="471" customFormat="false" ht="12.8" hidden="false" customHeight="false" outlineLevel="0" collapsed="false">
      <c r="A471" s="0" t="n">
        <v>469</v>
      </c>
      <c r="B471" s="0" t="n">
        <f aca="false">calc_cohort!D$2+constant!$B$1*A471</f>
        <v>70.2833333333333</v>
      </c>
      <c r="C471" s="0" t="n">
        <f aca="false">_xlfn.FLOOR.MATH(B471)</f>
        <v>70</v>
      </c>
      <c r="D471" s="4" t="n">
        <f aca="false">INDEX(table_mortality_rate!$A$1:$C$2000,MATCH(C471,table_mortality_rate!$A$1:$A$2000,0),MATCH(calc_cohort!$E$2,table_mortality_rate!A$1:C$1,0))</f>
        <v>0.024783</v>
      </c>
      <c r="E471" s="0" t="n">
        <f aca="false">(1-D471)^constant!$B$1</f>
        <v>0.99791091279944</v>
      </c>
      <c r="F471" s="0" t="n">
        <f aca="false">IF(A471=0,1,F470*E471)</f>
        <v>0.805311052211002</v>
      </c>
      <c r="G471" s="5" t="b">
        <f aca="false">B471&gt;=calc_cohort!C$2</f>
        <v>1</v>
      </c>
      <c r="H471" s="0" t="n">
        <f aca="false">IF(G471,1,0)</f>
        <v>1</v>
      </c>
      <c r="I471" s="0" t="n">
        <f aca="false">calc_cohort!$B$2*constant!$B$1*F471*H471</f>
        <v>0.828128198690314</v>
      </c>
      <c r="J471" s="0" t="n">
        <f aca="false">INDEX(table_spot_rate!B$1:B$2000,MATCH(A471,table_spot_rate!A$1:A$2000,0))</f>
        <v>0.0597798562740739</v>
      </c>
      <c r="K471" s="0" t="n">
        <f aca="false">(1+J471)^(-A471*constant!$B$1)</f>
        <v>0.103392238598038</v>
      </c>
      <c r="L471" s="0" t="n">
        <f aca="false">K471*I471</f>
        <v>0.0856220283087521</v>
      </c>
    </row>
    <row r="472" customFormat="false" ht="12.8" hidden="false" customHeight="false" outlineLevel="0" collapsed="false">
      <c r="A472" s="0" t="n">
        <v>470</v>
      </c>
      <c r="B472" s="0" t="n">
        <f aca="false">calc_cohort!D$2+constant!$B$1*A472</f>
        <v>70.3666666666667</v>
      </c>
      <c r="C472" s="0" t="n">
        <f aca="false">_xlfn.FLOOR.MATH(B472)</f>
        <v>70</v>
      </c>
      <c r="D472" s="4" t="n">
        <f aca="false">INDEX(table_mortality_rate!$A$1:$C$2000,MATCH(C472,table_mortality_rate!$A$1:$A$2000,0),MATCH(calc_cohort!$E$2,table_mortality_rate!A$1:C$1,0))</f>
        <v>0.024783</v>
      </c>
      <c r="E472" s="0" t="n">
        <f aca="false">(1-D472)^constant!$B$1</f>
        <v>0.99791091279944</v>
      </c>
      <c r="F472" s="0" t="n">
        <f aca="false">IF(A472=0,1,F471*E472)</f>
        <v>0.803628687199359</v>
      </c>
      <c r="G472" s="5" t="b">
        <f aca="false">B472&gt;=calc_cohort!C$2</f>
        <v>1</v>
      </c>
      <c r="H472" s="0" t="n">
        <f aca="false">IF(G472,1,0)</f>
        <v>1</v>
      </c>
      <c r="I472" s="0" t="n">
        <f aca="false">calc_cohort!$B$2*constant!$B$1*F472*H472</f>
        <v>0.826398166670007</v>
      </c>
      <c r="J472" s="0" t="n">
        <f aca="false">INDEX(table_spot_rate!B$1:B$2000,MATCH(A472,table_spot_rate!A$1:A$2000,0))</f>
        <v>0.0536474555703944</v>
      </c>
      <c r="K472" s="0" t="n">
        <f aca="false">(1+J472)^(-A472*constant!$B$1)</f>
        <v>0.129151620559186</v>
      </c>
      <c r="L472" s="0" t="n">
        <f aca="false">K472*I472</f>
        <v>0.106730662452572</v>
      </c>
    </row>
    <row r="473" customFormat="false" ht="12.8" hidden="false" customHeight="false" outlineLevel="0" collapsed="false">
      <c r="A473" s="0" t="n">
        <v>471</v>
      </c>
      <c r="B473" s="0" t="n">
        <f aca="false">calc_cohort!D$2+constant!$B$1*A473</f>
        <v>70.45</v>
      </c>
      <c r="C473" s="0" t="n">
        <f aca="false">_xlfn.FLOOR.MATH(B473)</f>
        <v>70</v>
      </c>
      <c r="D473" s="4" t="n">
        <f aca="false">INDEX(table_mortality_rate!$A$1:$C$2000,MATCH(C473,table_mortality_rate!$A$1:$A$2000,0),MATCH(calc_cohort!$E$2,table_mortality_rate!A$1:C$1,0))</f>
        <v>0.024783</v>
      </c>
      <c r="E473" s="0" t="n">
        <f aca="false">(1-D473)^constant!$B$1</f>
        <v>0.99791091279944</v>
      </c>
      <c r="F473" s="0" t="n">
        <f aca="false">IF(A473=0,1,F472*E473)</f>
        <v>0.801949836794927</v>
      </c>
      <c r="G473" s="5" t="b">
        <f aca="false">B473&gt;=calc_cohort!C$2</f>
        <v>1</v>
      </c>
      <c r="H473" s="0" t="n">
        <f aca="false">IF(G473,1,0)</f>
        <v>1</v>
      </c>
      <c r="I473" s="0" t="n">
        <f aca="false">calc_cohort!$B$2*constant!$B$1*F473*H473</f>
        <v>0.82467174883745</v>
      </c>
      <c r="J473" s="0" t="n">
        <f aca="false">INDEX(table_spot_rate!B$1:B$2000,MATCH(A473,table_spot_rate!A$1:A$2000,0))</f>
        <v>0.051504247615297</v>
      </c>
      <c r="K473" s="0" t="n">
        <f aca="false">(1+J473)^(-A473*constant!$B$1)</f>
        <v>0.13928906340297</v>
      </c>
      <c r="L473" s="0" t="n">
        <f aca="false">K473*I473</f>
        <v>0.114867755510458</v>
      </c>
    </row>
    <row r="474" customFormat="false" ht="12.8" hidden="false" customHeight="false" outlineLevel="0" collapsed="false">
      <c r="A474" s="0" t="n">
        <v>472</v>
      </c>
      <c r="B474" s="0" t="n">
        <f aca="false">calc_cohort!D$2+constant!$B$1*A474</f>
        <v>70.5333333333333</v>
      </c>
      <c r="C474" s="0" t="n">
        <f aca="false">_xlfn.FLOOR.MATH(B474)</f>
        <v>70</v>
      </c>
      <c r="D474" s="4" t="n">
        <f aca="false">INDEX(table_mortality_rate!$A$1:$C$2000,MATCH(C474,table_mortality_rate!$A$1:$A$2000,0),MATCH(calc_cohort!$E$2,table_mortality_rate!A$1:C$1,0))</f>
        <v>0.024783</v>
      </c>
      <c r="E474" s="0" t="n">
        <f aca="false">(1-D474)^constant!$B$1</f>
        <v>0.99791091279944</v>
      </c>
      <c r="F474" s="0" t="n">
        <f aca="false">IF(A474=0,1,F473*E474)</f>
        <v>0.800274493655387</v>
      </c>
      <c r="G474" s="5" t="b">
        <f aca="false">B474&gt;=calc_cohort!C$2</f>
        <v>1</v>
      </c>
      <c r="H474" s="0" t="n">
        <f aca="false">IF(G474,1,0)</f>
        <v>1</v>
      </c>
      <c r="I474" s="0" t="n">
        <f aca="false">calc_cohort!$B$2*constant!$B$1*F474*H474</f>
        <v>0.82294893764229</v>
      </c>
      <c r="J474" s="0" t="n">
        <f aca="false">INDEX(table_spot_rate!B$1:B$2000,MATCH(A474,table_spot_rate!A$1:A$2000,0))</f>
        <v>0.0509089473444362</v>
      </c>
      <c r="K474" s="0" t="n">
        <f aca="false">(1+J474)^(-A474*constant!$B$1)</f>
        <v>0.141831645823417</v>
      </c>
      <c r="L474" s="0" t="n">
        <f aca="false">K474*I474</f>
        <v>0.116720202254438</v>
      </c>
    </row>
    <row r="475" customFormat="false" ht="12.8" hidden="false" customHeight="false" outlineLevel="0" collapsed="false">
      <c r="A475" s="0" t="n">
        <v>473</v>
      </c>
      <c r="B475" s="0" t="n">
        <f aca="false">calc_cohort!D$2+constant!$B$1*A475</f>
        <v>70.6166666666667</v>
      </c>
      <c r="C475" s="0" t="n">
        <f aca="false">_xlfn.FLOOR.MATH(B475)</f>
        <v>70</v>
      </c>
      <c r="D475" s="4" t="n">
        <f aca="false">INDEX(table_mortality_rate!$A$1:$C$2000,MATCH(C475,table_mortality_rate!$A$1:$A$2000,0),MATCH(calc_cohort!$E$2,table_mortality_rate!A$1:C$1,0))</f>
        <v>0.024783</v>
      </c>
      <c r="E475" s="0" t="n">
        <f aca="false">(1-D475)^constant!$B$1</f>
        <v>0.99791091279944</v>
      </c>
      <c r="F475" s="0" t="n">
        <f aca="false">IF(A475=0,1,F474*E475)</f>
        <v>0.798602650453757</v>
      </c>
      <c r="G475" s="5" t="b">
        <f aca="false">B475&gt;=calc_cohort!C$2</f>
        <v>1</v>
      </c>
      <c r="H475" s="0" t="n">
        <f aca="false">IF(G475,1,0)</f>
        <v>1</v>
      </c>
      <c r="I475" s="0" t="n">
        <f aca="false">calc_cohort!$B$2*constant!$B$1*F475*H475</f>
        <v>0.821229725549947</v>
      </c>
      <c r="J475" s="0" t="n">
        <f aca="false">INDEX(table_spot_rate!B$1:B$2000,MATCH(A475,table_spot_rate!A$1:A$2000,0))</f>
        <v>0.059596376113778</v>
      </c>
      <c r="K475" s="0" t="n">
        <f aca="false">(1+J475)^(-A475*constant!$B$1)</f>
        <v>0.10210492680161</v>
      </c>
      <c r="L475" s="0" t="n">
        <f aca="false">K475*I475</f>
        <v>0.0838516010145833</v>
      </c>
    </row>
    <row r="476" customFormat="false" ht="12.8" hidden="false" customHeight="false" outlineLevel="0" collapsed="false">
      <c r="A476" s="0" t="n">
        <v>474</v>
      </c>
      <c r="B476" s="0" t="n">
        <f aca="false">calc_cohort!D$2+constant!$B$1*A476</f>
        <v>70.7</v>
      </c>
      <c r="C476" s="0" t="n">
        <f aca="false">_xlfn.FLOOR.MATH(B476)</f>
        <v>70</v>
      </c>
      <c r="D476" s="4" t="n">
        <f aca="false">INDEX(table_mortality_rate!$A$1:$C$2000,MATCH(C476,table_mortality_rate!$A$1:$A$2000,0),MATCH(calc_cohort!$E$2,table_mortality_rate!A$1:C$1,0))</f>
        <v>0.024783</v>
      </c>
      <c r="E476" s="0" t="n">
        <f aca="false">(1-D476)^constant!$B$1</f>
        <v>0.99791091279944</v>
      </c>
      <c r="F476" s="0" t="n">
        <f aca="false">IF(A476=0,1,F475*E476)</f>
        <v>0.79693429987836</v>
      </c>
      <c r="G476" s="5" t="b">
        <f aca="false">B476&gt;=calc_cohort!C$2</f>
        <v>1</v>
      </c>
      <c r="H476" s="0" t="n">
        <f aca="false">IF(G476,1,0)</f>
        <v>1</v>
      </c>
      <c r="I476" s="0" t="n">
        <f aca="false">calc_cohort!$B$2*constant!$B$1*F476*H476</f>
        <v>0.81951410504158</v>
      </c>
      <c r="J476" s="0" t="n">
        <f aca="false">INDEX(table_spot_rate!B$1:B$2000,MATCH(A476,table_spot_rate!A$1:A$2000,0))</f>
        <v>0.059191791913544</v>
      </c>
      <c r="K476" s="0" t="n">
        <f aca="false">(1+J476)^(-A476*constant!$B$1)</f>
        <v>0.103158029933232</v>
      </c>
      <c r="L476" s="0" t="n">
        <f aca="false">K476*I476</f>
        <v>0.0845394605785849</v>
      </c>
    </row>
    <row r="477" customFormat="false" ht="12.8" hidden="false" customHeight="false" outlineLevel="0" collapsed="false">
      <c r="A477" s="0" t="n">
        <v>475</v>
      </c>
      <c r="B477" s="0" t="n">
        <f aca="false">calc_cohort!D$2+constant!$B$1*A477</f>
        <v>70.7833333333333</v>
      </c>
      <c r="C477" s="0" t="n">
        <f aca="false">_xlfn.FLOOR.MATH(B477)</f>
        <v>70</v>
      </c>
      <c r="D477" s="4" t="n">
        <f aca="false">INDEX(table_mortality_rate!$A$1:$C$2000,MATCH(C477,table_mortality_rate!$A$1:$A$2000,0),MATCH(calc_cohort!$E$2,table_mortality_rate!A$1:C$1,0))</f>
        <v>0.024783</v>
      </c>
      <c r="E477" s="0" t="n">
        <f aca="false">(1-D477)^constant!$B$1</f>
        <v>0.99791091279944</v>
      </c>
      <c r="F477" s="0" t="n">
        <f aca="false">IF(A477=0,1,F476*E477)</f>
        <v>0.795269434632797</v>
      </c>
      <c r="G477" s="5" t="b">
        <f aca="false">B477&gt;=calc_cohort!C$2</f>
        <v>1</v>
      </c>
      <c r="H477" s="0" t="n">
        <f aca="false">IF(G477,1,0)</f>
        <v>1</v>
      </c>
      <c r="I477" s="0" t="n">
        <f aca="false">calc_cohort!$B$2*constant!$B$1*F477*H477</f>
        <v>0.817802068614059</v>
      </c>
      <c r="J477" s="0" t="n">
        <f aca="false">INDEX(table_spot_rate!B$1:B$2000,MATCH(A477,table_spot_rate!A$1:A$2000,0))</f>
        <v>0.0534233666684728</v>
      </c>
      <c r="K477" s="0" t="n">
        <f aca="false">(1+J477)^(-A477*constant!$B$1)</f>
        <v>0.127438307480981</v>
      </c>
      <c r="L477" s="0" t="n">
        <f aca="false">K477*I477</f>
        <v>0.104219311478621</v>
      </c>
    </row>
    <row r="478" customFormat="false" ht="12.8" hidden="false" customHeight="false" outlineLevel="0" collapsed="false">
      <c r="A478" s="0" t="n">
        <v>476</v>
      </c>
      <c r="B478" s="0" t="n">
        <f aca="false">calc_cohort!D$2+constant!$B$1*A478</f>
        <v>70.8666666666667</v>
      </c>
      <c r="C478" s="0" t="n">
        <f aca="false">_xlfn.FLOOR.MATH(B478)</f>
        <v>70</v>
      </c>
      <c r="D478" s="4" t="n">
        <f aca="false">INDEX(table_mortality_rate!$A$1:$C$2000,MATCH(C478,table_mortality_rate!$A$1:$A$2000,0),MATCH(calc_cohort!$E$2,table_mortality_rate!A$1:C$1,0))</f>
        <v>0.024783</v>
      </c>
      <c r="E478" s="0" t="n">
        <f aca="false">(1-D478)^constant!$B$1</f>
        <v>0.99791091279944</v>
      </c>
      <c r="F478" s="0" t="n">
        <f aca="false">IF(A478=0,1,F477*E478)</f>
        <v>0.793608047435908</v>
      </c>
      <c r="G478" s="5" t="b">
        <f aca="false">B478&gt;=calc_cohort!C$2</f>
        <v>1</v>
      </c>
      <c r="H478" s="0" t="n">
        <f aca="false">IF(G478,1,0)</f>
        <v>1</v>
      </c>
      <c r="I478" s="0" t="n">
        <f aca="false">calc_cohort!$B$2*constant!$B$1*F478*H478</f>
        <v>0.816093608779926</v>
      </c>
      <c r="J478" s="0" t="n">
        <f aca="false">INDEX(table_spot_rate!B$1:B$2000,MATCH(A478,table_spot_rate!A$1:A$2000,0))</f>
        <v>0.0577901178153299</v>
      </c>
      <c r="K478" s="0" t="n">
        <f aca="false">(1+J478)^(-A478*constant!$B$1)</f>
        <v>0.107684439685901</v>
      </c>
      <c r="L478" s="0" t="n">
        <f aca="false">K478*I478</f>
        <v>0.0878805829927114</v>
      </c>
    </row>
    <row r="479" customFormat="false" ht="12.8" hidden="false" customHeight="false" outlineLevel="0" collapsed="false">
      <c r="A479" s="0" t="n">
        <v>477</v>
      </c>
      <c r="B479" s="0" t="n">
        <f aca="false">calc_cohort!D$2+constant!$B$1*A479</f>
        <v>70.95</v>
      </c>
      <c r="C479" s="0" t="n">
        <f aca="false">_xlfn.FLOOR.MATH(B479)</f>
        <v>70</v>
      </c>
      <c r="D479" s="4" t="n">
        <f aca="false">INDEX(table_mortality_rate!$A$1:$C$2000,MATCH(C479,table_mortality_rate!$A$1:$A$2000,0),MATCH(calc_cohort!$E$2,table_mortality_rate!A$1:C$1,0))</f>
        <v>0.024783</v>
      </c>
      <c r="E479" s="0" t="n">
        <f aca="false">(1-D479)^constant!$B$1</f>
        <v>0.99791091279944</v>
      </c>
      <c r="F479" s="0" t="n">
        <f aca="false">IF(A479=0,1,F478*E479)</f>
        <v>0.791950131021748</v>
      </c>
      <c r="G479" s="5" t="b">
        <f aca="false">B479&gt;=calc_cohort!C$2</f>
        <v>1</v>
      </c>
      <c r="H479" s="0" t="n">
        <f aca="false">IF(G479,1,0)</f>
        <v>1</v>
      </c>
      <c r="I479" s="0" t="n">
        <f aca="false">calc_cohort!$B$2*constant!$B$1*F479*H479</f>
        <v>0.814388718067364</v>
      </c>
      <c r="J479" s="0" t="n">
        <f aca="false">INDEX(table_spot_rate!B$1:B$2000,MATCH(A479,table_spot_rate!A$1:A$2000,0))</f>
        <v>0.0587595410177215</v>
      </c>
      <c r="K479" s="0" t="n">
        <f aca="false">(1+J479)^(-A479*constant!$B$1)</f>
        <v>0.103348898942521</v>
      </c>
      <c r="L479" s="0" t="n">
        <f aca="false">K479*I479</f>
        <v>0.0841661773234731</v>
      </c>
    </row>
    <row r="480" customFormat="false" ht="12.8" hidden="false" customHeight="false" outlineLevel="0" collapsed="false">
      <c r="A480" s="0" t="n">
        <v>478</v>
      </c>
      <c r="B480" s="0" t="n">
        <f aca="false">calc_cohort!D$2+constant!$B$1*A480</f>
        <v>71.0333333333333</v>
      </c>
      <c r="C480" s="0" t="n">
        <f aca="false">_xlfn.FLOOR.MATH(B480)</f>
        <v>71</v>
      </c>
      <c r="D480" s="4" t="n">
        <f aca="false">INDEX(table_mortality_rate!$A$1:$C$2000,MATCH(C480,table_mortality_rate!$A$1:$A$2000,0),MATCH(calc_cohort!$E$2,table_mortality_rate!A$1:C$1,0))</f>
        <v>0.027606</v>
      </c>
      <c r="E480" s="0" t="n">
        <f aca="false">(1-D480)^constant!$B$1</f>
        <v>0.997669868409534</v>
      </c>
      <c r="F480" s="0" t="n">
        <f aca="false">IF(A480=0,1,F479*E480)</f>
        <v>0.790104783003381</v>
      </c>
      <c r="G480" s="5" t="b">
        <f aca="false">B480&gt;=calc_cohort!C$2</f>
        <v>1</v>
      </c>
      <c r="H480" s="0" t="n">
        <f aca="false">IF(G480,1,0)</f>
        <v>1</v>
      </c>
      <c r="I480" s="0" t="n">
        <f aca="false">calc_cohort!$B$2*constant!$B$1*F480*H480</f>
        <v>0.812491085188476</v>
      </c>
      <c r="J480" s="0" t="n">
        <f aca="false">INDEX(table_spot_rate!B$1:B$2000,MATCH(A480,table_spot_rate!A$1:A$2000,0))</f>
        <v>0.0550321228894254</v>
      </c>
      <c r="K480" s="0" t="n">
        <f aca="false">(1+J480)^(-A480*constant!$B$1)</f>
        <v>0.118372357334</v>
      </c>
      <c r="L480" s="0" t="n">
        <f aca="false">K480*I480</f>
        <v>0.0961764850666199</v>
      </c>
    </row>
    <row r="481" customFormat="false" ht="12.8" hidden="false" customHeight="false" outlineLevel="0" collapsed="false">
      <c r="A481" s="0" t="n">
        <v>479</v>
      </c>
      <c r="B481" s="0" t="n">
        <f aca="false">calc_cohort!D$2+constant!$B$1*A481</f>
        <v>71.1166666666667</v>
      </c>
      <c r="C481" s="0" t="n">
        <f aca="false">_xlfn.FLOOR.MATH(B481)</f>
        <v>71</v>
      </c>
      <c r="D481" s="4" t="n">
        <f aca="false">INDEX(table_mortality_rate!$A$1:$C$2000,MATCH(C481,table_mortality_rate!$A$1:$A$2000,0),MATCH(calc_cohort!$E$2,table_mortality_rate!A$1:C$1,0))</f>
        <v>0.027606</v>
      </c>
      <c r="E481" s="0" t="n">
        <f aca="false">(1-D481)^constant!$B$1</f>
        <v>0.997669868409534</v>
      </c>
      <c r="F481" s="0" t="n">
        <f aca="false">IF(A481=0,1,F480*E481)</f>
        <v>0.788263734888726</v>
      </c>
      <c r="G481" s="5" t="b">
        <f aca="false">B481&gt;=calc_cohort!C$2</f>
        <v>1</v>
      </c>
      <c r="H481" s="0" t="n">
        <f aca="false">IF(G481,1,0)</f>
        <v>1</v>
      </c>
      <c r="I481" s="0" t="n">
        <f aca="false">calc_cohort!$B$2*constant!$B$1*F481*H481</f>
        <v>0.810597874043906</v>
      </c>
      <c r="J481" s="0" t="n">
        <f aca="false">INDEX(table_spot_rate!B$1:B$2000,MATCH(A481,table_spot_rate!A$1:A$2000,0))</f>
        <v>0.050425255008653</v>
      </c>
      <c r="K481" s="0" t="n">
        <f aca="false">(1+J481)^(-A481*constant!$B$1)</f>
        <v>0.140337662214084</v>
      </c>
      <c r="L481" s="0" t="n">
        <f aca="false">K481*I481</f>
        <v>0.113757410639028</v>
      </c>
    </row>
    <row r="482" customFormat="false" ht="12.8" hidden="false" customHeight="false" outlineLevel="0" collapsed="false">
      <c r="A482" s="0" t="n">
        <v>480</v>
      </c>
      <c r="B482" s="0" t="n">
        <f aca="false">calc_cohort!D$2+constant!$B$1*A482</f>
        <v>71.2</v>
      </c>
      <c r="C482" s="0" t="n">
        <f aca="false">_xlfn.FLOOR.MATH(B482)</f>
        <v>71</v>
      </c>
      <c r="D482" s="4" t="n">
        <f aca="false">INDEX(table_mortality_rate!$A$1:$C$2000,MATCH(C482,table_mortality_rate!$A$1:$A$2000,0),MATCH(calc_cohort!$E$2,table_mortality_rate!A$1:C$1,0))</f>
        <v>0.027606</v>
      </c>
      <c r="E482" s="0" t="n">
        <f aca="false">(1-D482)^constant!$B$1</f>
        <v>0.997669868409534</v>
      </c>
      <c r="F482" s="0" t="n">
        <f aca="false">IF(A482=0,1,F481*E482)</f>
        <v>0.786426976658443</v>
      </c>
      <c r="G482" s="5" t="b">
        <f aca="false">B482&gt;=calc_cohort!C$2</f>
        <v>1</v>
      </c>
      <c r="H482" s="0" t="n">
        <f aca="false">IF(G482,1,0)</f>
        <v>1</v>
      </c>
      <c r="I482" s="0" t="n">
        <f aca="false">calc_cohort!$B$2*constant!$B$1*F482*H482</f>
        <v>0.808709074330432</v>
      </c>
      <c r="J482" s="0" t="n">
        <f aca="false">INDEX(table_spot_rate!B$1:B$2000,MATCH(A482,table_spot_rate!A$1:A$2000,0))</f>
        <v>0.055171859207722</v>
      </c>
      <c r="K482" s="0" t="n">
        <f aca="false">(1+J482)^(-A482*constant!$B$1)</f>
        <v>0.116700303924403</v>
      </c>
      <c r="L482" s="0" t="n">
        <f aca="false">K482*I482</f>
        <v>0.0943765947607843</v>
      </c>
    </row>
    <row r="483" customFormat="false" ht="12.8" hidden="false" customHeight="false" outlineLevel="0" collapsed="false">
      <c r="A483" s="0" t="n">
        <v>481</v>
      </c>
      <c r="B483" s="0" t="n">
        <f aca="false">calc_cohort!D$2+constant!$B$1*A483</f>
        <v>71.2833333333333</v>
      </c>
      <c r="C483" s="0" t="n">
        <f aca="false">_xlfn.FLOOR.MATH(B483)</f>
        <v>71</v>
      </c>
      <c r="D483" s="4" t="n">
        <f aca="false">INDEX(table_mortality_rate!$A$1:$C$2000,MATCH(C483,table_mortality_rate!$A$1:$A$2000,0),MATCH(calc_cohort!$E$2,table_mortality_rate!A$1:C$1,0))</f>
        <v>0.027606</v>
      </c>
      <c r="E483" s="0" t="n">
        <f aca="false">(1-D483)^constant!$B$1</f>
        <v>0.997669868409534</v>
      </c>
      <c r="F483" s="0" t="n">
        <f aca="false">IF(A483=0,1,F482*E483)</f>
        <v>0.784594498316536</v>
      </c>
      <c r="G483" s="5" t="b">
        <f aca="false">B483&gt;=calc_cohort!C$2</f>
        <v>1</v>
      </c>
      <c r="H483" s="0" t="n">
        <f aca="false">IF(G483,1,0)</f>
        <v>1</v>
      </c>
      <c r="I483" s="0" t="n">
        <f aca="false">calc_cohort!$B$2*constant!$B$1*F483*H483</f>
        <v>0.806824675768838</v>
      </c>
      <c r="J483" s="0" t="n">
        <f aca="false">INDEX(table_spot_rate!B$1:B$2000,MATCH(A483,table_spot_rate!A$1:A$2000,0))</f>
        <v>0.0563101673347589</v>
      </c>
      <c r="K483" s="0" t="n">
        <f aca="false">(1+J483)^(-A483*constant!$B$1)</f>
        <v>0.111265103643288</v>
      </c>
      <c r="L483" s="0" t="n">
        <f aca="false">K483*I483</f>
        <v>0.0897714311713816</v>
      </c>
    </row>
    <row r="484" customFormat="false" ht="12.8" hidden="false" customHeight="false" outlineLevel="0" collapsed="false">
      <c r="A484" s="0" t="n">
        <v>482</v>
      </c>
      <c r="B484" s="0" t="n">
        <f aca="false">calc_cohort!D$2+constant!$B$1*A484</f>
        <v>71.3666666666667</v>
      </c>
      <c r="C484" s="0" t="n">
        <f aca="false">_xlfn.FLOOR.MATH(B484)</f>
        <v>71</v>
      </c>
      <c r="D484" s="4" t="n">
        <f aca="false">INDEX(table_mortality_rate!$A$1:$C$2000,MATCH(C484,table_mortality_rate!$A$1:$A$2000,0),MATCH(calc_cohort!$E$2,table_mortality_rate!A$1:C$1,0))</f>
        <v>0.027606</v>
      </c>
      <c r="E484" s="0" t="n">
        <f aca="false">(1-D484)^constant!$B$1</f>
        <v>0.997669868409534</v>
      </c>
      <c r="F484" s="0" t="n">
        <f aca="false">IF(A484=0,1,F483*E484)</f>
        <v>0.782766289890303</v>
      </c>
      <c r="G484" s="5" t="b">
        <f aca="false">B484&gt;=calc_cohort!C$2</f>
        <v>1</v>
      </c>
      <c r="H484" s="0" t="n">
        <f aca="false">IF(G484,1,0)</f>
        <v>1</v>
      </c>
      <c r="I484" s="0" t="n">
        <f aca="false">calc_cohort!$B$2*constant!$B$1*F484*H484</f>
        <v>0.804944668103861</v>
      </c>
      <c r="J484" s="0" t="n">
        <f aca="false">INDEX(table_spot_rate!B$1:B$2000,MATCH(A484,table_spot_rate!A$1:A$2000,0))</f>
        <v>0.0537185938588773</v>
      </c>
      <c r="K484" s="0" t="n">
        <f aca="false">(1+J484)^(-A484*constant!$B$1)</f>
        <v>0.122243791989011</v>
      </c>
      <c r="L484" s="0" t="n">
        <f aca="false">K484*I484</f>
        <v>0.0983994885703517</v>
      </c>
    </row>
    <row r="485" customFormat="false" ht="12.8" hidden="false" customHeight="false" outlineLevel="0" collapsed="false">
      <c r="A485" s="0" t="n">
        <v>483</v>
      </c>
      <c r="B485" s="0" t="n">
        <f aca="false">calc_cohort!D$2+constant!$B$1*A485</f>
        <v>71.45</v>
      </c>
      <c r="C485" s="0" t="n">
        <f aca="false">_xlfn.FLOOR.MATH(B485)</f>
        <v>71</v>
      </c>
      <c r="D485" s="4" t="n">
        <f aca="false">INDEX(table_mortality_rate!$A$1:$C$2000,MATCH(C485,table_mortality_rate!$A$1:$A$2000,0),MATCH(calc_cohort!$E$2,table_mortality_rate!A$1:C$1,0))</f>
        <v>0.027606</v>
      </c>
      <c r="E485" s="0" t="n">
        <f aca="false">(1-D485)^constant!$B$1</f>
        <v>0.997669868409534</v>
      </c>
      <c r="F485" s="0" t="n">
        <f aca="false">IF(A485=0,1,F484*E485)</f>
        <v>0.780942341430277</v>
      </c>
      <c r="G485" s="5" t="b">
        <f aca="false">B485&gt;=calc_cohort!C$2</f>
        <v>1</v>
      </c>
      <c r="H485" s="0" t="n">
        <f aca="false">IF(G485,1,0)</f>
        <v>1</v>
      </c>
      <c r="I485" s="0" t="n">
        <f aca="false">calc_cohort!$B$2*constant!$B$1*F485*H485</f>
        <v>0.803069041104135</v>
      </c>
      <c r="J485" s="0" t="n">
        <f aca="false">INDEX(table_spot_rate!B$1:B$2000,MATCH(A485,table_spot_rate!A$1:A$2000,0))</f>
        <v>0.0574883364328771</v>
      </c>
      <c r="K485" s="0" t="n">
        <f aca="false">(1+J485)^(-A485*constant!$B$1)</f>
        <v>0.1054162742012</v>
      </c>
      <c r="L485" s="0" t="n">
        <f aca="false">K485*I485</f>
        <v>0.0846565462395286</v>
      </c>
    </row>
    <row r="486" customFormat="false" ht="12.8" hidden="false" customHeight="false" outlineLevel="0" collapsed="false">
      <c r="A486" s="0" t="n">
        <v>484</v>
      </c>
      <c r="B486" s="0" t="n">
        <f aca="false">calc_cohort!D$2+constant!$B$1*A486</f>
        <v>71.5333333333333</v>
      </c>
      <c r="C486" s="0" t="n">
        <f aca="false">_xlfn.FLOOR.MATH(B486)</f>
        <v>71</v>
      </c>
      <c r="D486" s="4" t="n">
        <f aca="false">INDEX(table_mortality_rate!$A$1:$C$2000,MATCH(C486,table_mortality_rate!$A$1:$A$2000,0),MATCH(calc_cohort!$E$2,table_mortality_rate!A$1:C$1,0))</f>
        <v>0.027606</v>
      </c>
      <c r="E486" s="0" t="n">
        <f aca="false">(1-D486)^constant!$B$1</f>
        <v>0.997669868409534</v>
      </c>
      <c r="F486" s="0" t="n">
        <f aca="false">IF(A486=0,1,F485*E486)</f>
        <v>0.779122643010178</v>
      </c>
      <c r="G486" s="5" t="b">
        <f aca="false">B486&gt;=calc_cohort!C$2</f>
        <v>1</v>
      </c>
      <c r="H486" s="0" t="n">
        <f aca="false">IF(G486,1,0)</f>
        <v>1</v>
      </c>
      <c r="I486" s="0" t="n">
        <f aca="false">calc_cohort!$B$2*constant!$B$1*F486*H486</f>
        <v>0.801197784562133</v>
      </c>
      <c r="J486" s="0" t="n">
        <f aca="false">INDEX(table_spot_rate!B$1:B$2000,MATCH(A486,table_spot_rate!A$1:A$2000,0))</f>
        <v>0.0512549527988467</v>
      </c>
      <c r="K486" s="0" t="n">
        <f aca="false">(1+J486)^(-A486*constant!$B$1)</f>
        <v>0.133180850884716</v>
      </c>
      <c r="L486" s="0" t="n">
        <f aca="false">K486*I486</f>
        <v>0.106704202674934</v>
      </c>
    </row>
    <row r="487" customFormat="false" ht="12.8" hidden="false" customHeight="false" outlineLevel="0" collapsed="false">
      <c r="A487" s="0" t="n">
        <v>485</v>
      </c>
      <c r="B487" s="0" t="n">
        <f aca="false">calc_cohort!D$2+constant!$B$1*A487</f>
        <v>71.6166666666667</v>
      </c>
      <c r="C487" s="0" t="n">
        <f aca="false">_xlfn.FLOOR.MATH(B487)</f>
        <v>71</v>
      </c>
      <c r="D487" s="4" t="n">
        <f aca="false">INDEX(table_mortality_rate!$A$1:$C$2000,MATCH(C487,table_mortality_rate!$A$1:$A$2000,0),MATCH(calc_cohort!$E$2,table_mortality_rate!A$1:C$1,0))</f>
        <v>0.027606</v>
      </c>
      <c r="E487" s="0" t="n">
        <f aca="false">(1-D487)^constant!$B$1</f>
        <v>0.997669868409534</v>
      </c>
      <c r="F487" s="0" t="n">
        <f aca="false">IF(A487=0,1,F486*E487)</f>
        <v>0.777307184726852</v>
      </c>
      <c r="G487" s="5" t="b">
        <f aca="false">B487&gt;=calc_cohort!C$2</f>
        <v>1</v>
      </c>
      <c r="H487" s="0" t="n">
        <f aca="false">IF(G487,1,0)</f>
        <v>1</v>
      </c>
      <c r="I487" s="0" t="n">
        <f aca="false">calc_cohort!$B$2*constant!$B$1*F487*H487</f>
        <v>0.799330888294113</v>
      </c>
      <c r="J487" s="0" t="n">
        <f aca="false">INDEX(table_spot_rate!B$1:B$2000,MATCH(A487,table_spot_rate!A$1:A$2000,0))</f>
        <v>0.0501393375985102</v>
      </c>
      <c r="K487" s="0" t="n">
        <f aca="false">(1+J487)^(-A487*constant!$B$1)</f>
        <v>0.138442688879037</v>
      </c>
      <c r="L487" s="0" t="n">
        <f aca="false">K487*I487</f>
        <v>0.110661517479506</v>
      </c>
    </row>
    <row r="488" customFormat="false" ht="12.8" hidden="false" customHeight="false" outlineLevel="0" collapsed="false">
      <c r="A488" s="0" t="n">
        <v>486</v>
      </c>
      <c r="B488" s="0" t="n">
        <f aca="false">calc_cohort!D$2+constant!$B$1*A488</f>
        <v>71.7</v>
      </c>
      <c r="C488" s="0" t="n">
        <f aca="false">_xlfn.FLOOR.MATH(B488)</f>
        <v>71</v>
      </c>
      <c r="D488" s="4" t="n">
        <f aca="false">INDEX(table_mortality_rate!$A$1:$C$2000,MATCH(C488,table_mortality_rate!$A$1:$A$2000,0),MATCH(calc_cohort!$E$2,table_mortality_rate!A$1:C$1,0))</f>
        <v>0.027606</v>
      </c>
      <c r="E488" s="0" t="n">
        <f aca="false">(1-D488)^constant!$B$1</f>
        <v>0.997669868409534</v>
      </c>
      <c r="F488" s="0" t="n">
        <f aca="false">IF(A488=0,1,F487*E488)</f>
        <v>0.775495956700224</v>
      </c>
      <c r="G488" s="5" t="b">
        <f aca="false">B488&gt;=calc_cohort!C$2</f>
        <v>1</v>
      </c>
      <c r="H488" s="0" t="n">
        <f aca="false">IF(G488,1,0)</f>
        <v>1</v>
      </c>
      <c r="I488" s="0" t="n">
        <f aca="false">calc_cohort!$B$2*constant!$B$1*F488*H488</f>
        <v>0.797468342140064</v>
      </c>
      <c r="J488" s="0" t="n">
        <f aca="false">INDEX(table_spot_rate!B$1:B$2000,MATCH(A488,table_spot_rate!A$1:A$2000,0))</f>
        <v>0.0576531022466302</v>
      </c>
      <c r="K488" s="0" t="n">
        <f aca="false">(1+J488)^(-A488*constant!$B$1)</f>
        <v>0.10329956030128</v>
      </c>
      <c r="L488" s="0" t="n">
        <f aca="false">K488*I488</f>
        <v>0.082378129097259</v>
      </c>
    </row>
    <row r="489" customFormat="false" ht="12.8" hidden="false" customHeight="false" outlineLevel="0" collapsed="false">
      <c r="A489" s="0" t="n">
        <v>487</v>
      </c>
      <c r="B489" s="0" t="n">
        <f aca="false">calc_cohort!D$2+constant!$B$1*A489</f>
        <v>71.7833333333333</v>
      </c>
      <c r="C489" s="0" t="n">
        <f aca="false">_xlfn.FLOOR.MATH(B489)</f>
        <v>71</v>
      </c>
      <c r="D489" s="4" t="n">
        <f aca="false">INDEX(table_mortality_rate!$A$1:$C$2000,MATCH(C489,table_mortality_rate!$A$1:$A$2000,0),MATCH(calc_cohort!$E$2,table_mortality_rate!A$1:C$1,0))</f>
        <v>0.027606</v>
      </c>
      <c r="E489" s="0" t="n">
        <f aca="false">(1-D489)^constant!$B$1</f>
        <v>0.997669868409534</v>
      </c>
      <c r="F489" s="0" t="n">
        <f aca="false">IF(A489=0,1,F488*E489)</f>
        <v>0.773688949073238</v>
      </c>
      <c r="G489" s="5" t="b">
        <f aca="false">B489&gt;=calc_cohort!C$2</f>
        <v>1</v>
      </c>
      <c r="H489" s="0" t="n">
        <f aca="false">IF(G489,1,0)</f>
        <v>1</v>
      </c>
      <c r="I489" s="0" t="n">
        <f aca="false">calc_cohort!$B$2*constant!$B$1*F489*H489</f>
        <v>0.795610135963646</v>
      </c>
      <c r="J489" s="0" t="n">
        <f aca="false">INDEX(table_spot_rate!B$1:B$2000,MATCH(A489,table_spot_rate!A$1:A$2000,0))</f>
        <v>0.0550397454438579</v>
      </c>
      <c r="K489" s="0" t="n">
        <f aca="false">(1+J489)^(-A489*constant!$B$1)</f>
        <v>0.11367728540129</v>
      </c>
      <c r="L489" s="0" t="n">
        <f aca="false">K489*I489</f>
        <v>0.0904428004940989</v>
      </c>
    </row>
    <row r="490" customFormat="false" ht="12.8" hidden="false" customHeight="false" outlineLevel="0" collapsed="false">
      <c r="A490" s="0" t="n">
        <v>488</v>
      </c>
      <c r="B490" s="0" t="n">
        <f aca="false">calc_cohort!D$2+constant!$B$1*A490</f>
        <v>71.8666666666667</v>
      </c>
      <c r="C490" s="0" t="n">
        <f aca="false">_xlfn.FLOOR.MATH(B490)</f>
        <v>71</v>
      </c>
      <c r="D490" s="4" t="n">
        <f aca="false">INDEX(table_mortality_rate!$A$1:$C$2000,MATCH(C490,table_mortality_rate!$A$1:$A$2000,0),MATCH(calc_cohort!$E$2,table_mortality_rate!A$1:C$1,0))</f>
        <v>0.027606</v>
      </c>
      <c r="E490" s="0" t="n">
        <f aca="false">(1-D490)^constant!$B$1</f>
        <v>0.997669868409534</v>
      </c>
      <c r="F490" s="0" t="n">
        <f aca="false">IF(A490=0,1,F489*E490)</f>
        <v>0.771886152011808</v>
      </c>
      <c r="G490" s="5" t="b">
        <f aca="false">B490&gt;=calc_cohort!C$2</f>
        <v>1</v>
      </c>
      <c r="H490" s="0" t="n">
        <f aca="false">IF(G490,1,0)</f>
        <v>1</v>
      </c>
      <c r="I490" s="0" t="n">
        <f aca="false">calc_cohort!$B$2*constant!$B$1*F490*H490</f>
        <v>0.793756259652142</v>
      </c>
      <c r="J490" s="0" t="n">
        <f aca="false">INDEX(table_spot_rate!B$1:B$2000,MATCH(A490,table_spot_rate!A$1:A$2000,0))</f>
        <v>0.0525119991255206</v>
      </c>
      <c r="K490" s="0" t="n">
        <f aca="false">(1+J490)^(-A490*constant!$B$1)</f>
        <v>0.124767000690948</v>
      </c>
      <c r="L490" s="0" t="n">
        <f aca="false">K490*I490</f>
        <v>0.099034587796463</v>
      </c>
    </row>
    <row r="491" customFormat="false" ht="12.8" hidden="false" customHeight="false" outlineLevel="0" collapsed="false">
      <c r="A491" s="0" t="n">
        <v>489</v>
      </c>
      <c r="B491" s="0" t="n">
        <f aca="false">calc_cohort!D$2+constant!$B$1*A491</f>
        <v>71.95</v>
      </c>
      <c r="C491" s="0" t="n">
        <f aca="false">_xlfn.FLOOR.MATH(B491)</f>
        <v>71</v>
      </c>
      <c r="D491" s="4" t="n">
        <f aca="false">INDEX(table_mortality_rate!$A$1:$C$2000,MATCH(C491,table_mortality_rate!$A$1:$A$2000,0),MATCH(calc_cohort!$E$2,table_mortality_rate!A$1:C$1,0))</f>
        <v>0.027606</v>
      </c>
      <c r="E491" s="0" t="n">
        <f aca="false">(1-D491)^constant!$B$1</f>
        <v>0.997669868409534</v>
      </c>
      <c r="F491" s="0" t="n">
        <f aca="false">IF(A491=0,1,F490*E491)</f>
        <v>0.770087555704762</v>
      </c>
      <c r="G491" s="5" t="b">
        <f aca="false">B491&gt;=calc_cohort!C$2</f>
        <v>1</v>
      </c>
      <c r="H491" s="0" t="n">
        <f aca="false">IF(G491,1,0)</f>
        <v>1</v>
      </c>
      <c r="I491" s="0" t="n">
        <f aca="false">calc_cohort!$B$2*constant!$B$1*F491*H491</f>
        <v>0.791906703116397</v>
      </c>
      <c r="J491" s="0" t="n">
        <f aca="false">INDEX(table_spot_rate!B$1:B$2000,MATCH(A491,table_spot_rate!A$1:A$2000,0))</f>
        <v>0.0586131003514388</v>
      </c>
      <c r="K491" s="0" t="n">
        <f aca="false">(1+J491)^(-A491*constant!$B$1)</f>
        <v>0.0981649587420966</v>
      </c>
      <c r="L491" s="0" t="n">
        <f aca="false">K491*I491</f>
        <v>0.0777374888390108</v>
      </c>
    </row>
    <row r="492" customFormat="false" ht="12.8" hidden="false" customHeight="false" outlineLevel="0" collapsed="false">
      <c r="A492" s="0" t="n">
        <v>490</v>
      </c>
      <c r="B492" s="0" t="n">
        <f aca="false">calc_cohort!D$2+constant!$B$1*A492</f>
        <v>72.0333333333333</v>
      </c>
      <c r="C492" s="0" t="n">
        <f aca="false">_xlfn.FLOOR.MATH(B492)</f>
        <v>72</v>
      </c>
      <c r="D492" s="4" t="n">
        <f aca="false">INDEX(table_mortality_rate!$A$1:$C$2000,MATCH(C492,table_mortality_rate!$A$1:$A$2000,0),MATCH(calc_cohort!$E$2,table_mortality_rate!A$1:C$1,0))</f>
        <v>0.030718</v>
      </c>
      <c r="E492" s="0" t="n">
        <f aca="false">(1-D492)^constant!$B$1</f>
        <v>0.997403403025161</v>
      </c>
      <c r="F492" s="0" t="n">
        <f aca="false">IF(A492=0,1,F491*E492)</f>
        <v>0.768087948687257</v>
      </c>
      <c r="G492" s="5" t="b">
        <f aca="false">B492&gt;=calc_cohort!C$2</f>
        <v>1</v>
      </c>
      <c r="H492" s="0" t="n">
        <f aca="false">IF(G492,1,0)</f>
        <v>1</v>
      </c>
      <c r="I492" s="0" t="n">
        <f aca="false">calc_cohort!$B$2*constant!$B$1*F492*H492</f>
        <v>0.78985044056673</v>
      </c>
      <c r="J492" s="0" t="n">
        <f aca="false">INDEX(table_spot_rate!B$1:B$2000,MATCH(A492,table_spot_rate!A$1:A$2000,0))</f>
        <v>0.0532090557561442</v>
      </c>
      <c r="K492" s="0" t="n">
        <f aca="false">(1+J492)^(-A492*constant!$B$1)</f>
        <v>0.120407755599313</v>
      </c>
      <c r="L492" s="0" t="n">
        <f aca="false">K492*I492</f>
        <v>0.0951041188077682</v>
      </c>
    </row>
    <row r="493" customFormat="false" ht="12.8" hidden="false" customHeight="false" outlineLevel="0" collapsed="false">
      <c r="A493" s="0" t="n">
        <v>491</v>
      </c>
      <c r="B493" s="0" t="n">
        <f aca="false">calc_cohort!D$2+constant!$B$1*A493</f>
        <v>72.1166666666667</v>
      </c>
      <c r="C493" s="0" t="n">
        <f aca="false">_xlfn.FLOOR.MATH(B493)</f>
        <v>72</v>
      </c>
      <c r="D493" s="4" t="n">
        <f aca="false">INDEX(table_mortality_rate!$A$1:$C$2000,MATCH(C493,table_mortality_rate!$A$1:$A$2000,0),MATCH(calc_cohort!$E$2,table_mortality_rate!A$1:C$1,0))</f>
        <v>0.030718</v>
      </c>
      <c r="E493" s="0" t="n">
        <f aca="false">(1-D493)^constant!$B$1</f>
        <v>0.997403403025161</v>
      </c>
      <c r="F493" s="0" t="n">
        <f aca="false">IF(A493=0,1,F492*E493)</f>
        <v>0.766093533843286</v>
      </c>
      <c r="G493" s="5" t="b">
        <f aca="false">B493&gt;=calc_cohort!C$2</f>
        <v>1</v>
      </c>
      <c r="H493" s="0" t="n">
        <f aca="false">IF(G493,1,0)</f>
        <v>1</v>
      </c>
      <c r="I493" s="0" t="n">
        <f aca="false">calc_cohort!$B$2*constant!$B$1*F493*H493</f>
        <v>0.787799517302179</v>
      </c>
      <c r="J493" s="0" t="n">
        <f aca="false">INDEX(table_spot_rate!B$1:B$2000,MATCH(A493,table_spot_rate!A$1:A$2000,0))</f>
        <v>0.056115618140249</v>
      </c>
      <c r="K493" s="0" t="n">
        <f aca="false">(1+J493)^(-A493*constant!$B$1)</f>
        <v>0.107104047838955</v>
      </c>
      <c r="L493" s="0" t="n">
        <f aca="false">K493*I493</f>
        <v>0.0843765171886385</v>
      </c>
    </row>
    <row r="494" customFormat="false" ht="12.8" hidden="false" customHeight="false" outlineLevel="0" collapsed="false">
      <c r="A494" s="0" t="n">
        <v>492</v>
      </c>
      <c r="B494" s="0" t="n">
        <f aca="false">calc_cohort!D$2+constant!$B$1*A494</f>
        <v>72.2</v>
      </c>
      <c r="C494" s="0" t="n">
        <f aca="false">_xlfn.FLOOR.MATH(B494)</f>
        <v>72</v>
      </c>
      <c r="D494" s="4" t="n">
        <f aca="false">INDEX(table_mortality_rate!$A$1:$C$2000,MATCH(C494,table_mortality_rate!$A$1:$A$2000,0),MATCH(calc_cohort!$E$2,table_mortality_rate!A$1:C$1,0))</f>
        <v>0.030718</v>
      </c>
      <c r="E494" s="0" t="n">
        <f aca="false">(1-D494)^constant!$B$1</f>
        <v>0.997403403025161</v>
      </c>
      <c r="F494" s="0" t="n">
        <f aca="false">IF(A494=0,1,F493*E494)</f>
        <v>0.764104297690864</v>
      </c>
      <c r="G494" s="5" t="b">
        <f aca="false">B494&gt;=calc_cohort!C$2</f>
        <v>1</v>
      </c>
      <c r="H494" s="0" t="n">
        <f aca="false">IF(G494,1,0)</f>
        <v>1</v>
      </c>
      <c r="I494" s="0" t="n">
        <f aca="false">calc_cohort!$B$2*constant!$B$1*F494*H494</f>
        <v>0.785753919458772</v>
      </c>
      <c r="J494" s="0" t="n">
        <f aca="false">INDEX(table_spot_rate!B$1:B$2000,MATCH(A494,table_spot_rate!A$1:A$2000,0))</f>
        <v>0.0544966393694308</v>
      </c>
      <c r="K494" s="0" t="n">
        <f aca="false">(1+J494)^(-A494*constant!$B$1)</f>
        <v>0.113539453609859</v>
      </c>
      <c r="L494" s="0" t="n">
        <f aca="false">K494*I494</f>
        <v>0.0892140706871539</v>
      </c>
    </row>
    <row r="495" customFormat="false" ht="12.8" hidden="false" customHeight="false" outlineLevel="0" collapsed="false">
      <c r="A495" s="0" t="n">
        <v>493</v>
      </c>
      <c r="B495" s="0" t="n">
        <f aca="false">calc_cohort!D$2+constant!$B$1*A495</f>
        <v>72.2833333333333</v>
      </c>
      <c r="C495" s="0" t="n">
        <f aca="false">_xlfn.FLOOR.MATH(B495)</f>
        <v>72</v>
      </c>
      <c r="D495" s="4" t="n">
        <f aca="false">INDEX(table_mortality_rate!$A$1:$C$2000,MATCH(C495,table_mortality_rate!$A$1:$A$2000,0),MATCH(calc_cohort!$E$2,table_mortality_rate!A$1:C$1,0))</f>
        <v>0.030718</v>
      </c>
      <c r="E495" s="0" t="n">
        <f aca="false">(1-D495)^constant!$B$1</f>
        <v>0.997403403025161</v>
      </c>
      <c r="F495" s="0" t="n">
        <f aca="false">IF(A495=0,1,F494*E495)</f>
        <v>0.762120226783019</v>
      </c>
      <c r="G495" s="5" t="b">
        <f aca="false">B495&gt;=calc_cohort!C$2</f>
        <v>1</v>
      </c>
      <c r="H495" s="0" t="n">
        <f aca="false">IF(G495,1,0)</f>
        <v>1</v>
      </c>
      <c r="I495" s="0" t="n">
        <f aca="false">calc_cohort!$B$2*constant!$B$1*F495*H495</f>
        <v>0.783713633208538</v>
      </c>
      <c r="J495" s="0" t="n">
        <f aca="false">INDEX(table_spot_rate!B$1:B$2000,MATCH(A495,table_spot_rate!A$1:A$2000,0))</f>
        <v>0.0538195143671751</v>
      </c>
      <c r="K495" s="0" t="n">
        <f aca="false">(1+J495)^(-A495*constant!$B$1)</f>
        <v>0.116061216527777</v>
      </c>
      <c r="L495" s="0" t="n">
        <f aca="false">K495*I495</f>
        <v>0.0909587576795872</v>
      </c>
    </row>
    <row r="496" customFormat="false" ht="12.8" hidden="false" customHeight="false" outlineLevel="0" collapsed="false">
      <c r="A496" s="0" t="n">
        <v>494</v>
      </c>
      <c r="B496" s="0" t="n">
        <f aca="false">calc_cohort!D$2+constant!$B$1*A496</f>
        <v>72.3666666666667</v>
      </c>
      <c r="C496" s="0" t="n">
        <f aca="false">_xlfn.FLOOR.MATH(B496)</f>
        <v>72</v>
      </c>
      <c r="D496" s="4" t="n">
        <f aca="false">INDEX(table_mortality_rate!$A$1:$C$2000,MATCH(C496,table_mortality_rate!$A$1:$A$2000,0),MATCH(calc_cohort!$E$2,table_mortality_rate!A$1:C$1,0))</f>
        <v>0.030718</v>
      </c>
      <c r="E496" s="0" t="n">
        <f aca="false">(1-D496)^constant!$B$1</f>
        <v>0.997403403025161</v>
      </c>
      <c r="F496" s="0" t="n">
        <f aca="false">IF(A496=0,1,F495*E496)</f>
        <v>0.76014130770769</v>
      </c>
      <c r="G496" s="5" t="b">
        <f aca="false">B496&gt;=calc_cohort!C$2</f>
        <v>1</v>
      </c>
      <c r="H496" s="0" t="n">
        <f aca="false">IF(G496,1,0)</f>
        <v>1</v>
      </c>
      <c r="I496" s="0" t="n">
        <f aca="false">calc_cohort!$B$2*constant!$B$1*F496*H496</f>
        <v>0.781678644759408</v>
      </c>
      <c r="J496" s="0" t="n">
        <f aca="false">INDEX(table_spot_rate!B$1:B$2000,MATCH(A496,table_spot_rate!A$1:A$2000,0))</f>
        <v>0.0566326537779012</v>
      </c>
      <c r="K496" s="0" t="n">
        <f aca="false">(1+J496)^(-A496*constant!$B$1)</f>
        <v>0.103544615782803</v>
      </c>
      <c r="L496" s="0" t="n">
        <f aca="false">K496*I496</f>
        <v>0.0809386149372349</v>
      </c>
    </row>
    <row r="497" customFormat="false" ht="12.8" hidden="false" customHeight="false" outlineLevel="0" collapsed="false">
      <c r="A497" s="0" t="n">
        <v>495</v>
      </c>
      <c r="B497" s="0" t="n">
        <f aca="false">calc_cohort!D$2+constant!$B$1*A497</f>
        <v>72.45</v>
      </c>
      <c r="C497" s="0" t="n">
        <f aca="false">_xlfn.FLOOR.MATH(B497)</f>
        <v>72</v>
      </c>
      <c r="D497" s="4" t="n">
        <f aca="false">INDEX(table_mortality_rate!$A$1:$C$2000,MATCH(C497,table_mortality_rate!$A$1:$A$2000,0),MATCH(calc_cohort!$E$2,table_mortality_rate!A$1:C$1,0))</f>
        <v>0.030718</v>
      </c>
      <c r="E497" s="0" t="n">
        <f aca="false">(1-D497)^constant!$B$1</f>
        <v>0.997403403025161</v>
      </c>
      <c r="F497" s="0" t="n">
        <f aca="false">IF(A497=0,1,F496*E497)</f>
        <v>0.758167527087646</v>
      </c>
      <c r="G497" s="5" t="b">
        <f aca="false">B497&gt;=calc_cohort!C$2</f>
        <v>1</v>
      </c>
      <c r="H497" s="0" t="n">
        <f aca="false">IF(G497,1,0)</f>
        <v>1</v>
      </c>
      <c r="I497" s="0" t="n">
        <f aca="false">calc_cohort!$B$2*constant!$B$1*F497*H497</f>
        <v>0.779648940355129</v>
      </c>
      <c r="J497" s="0" t="n">
        <f aca="false">INDEX(table_spot_rate!B$1:B$2000,MATCH(A497,table_spot_rate!A$1:A$2000,0))</f>
        <v>0.0575477285301463</v>
      </c>
      <c r="K497" s="0" t="n">
        <f aca="false">(1+J497)^(-A497*constant!$B$1)</f>
        <v>0.0994548480136582</v>
      </c>
      <c r="L497" s="0" t="n">
        <f aca="false">K497*I497</f>
        <v>0.0775398668670291</v>
      </c>
    </row>
    <row r="498" customFormat="false" ht="12.8" hidden="false" customHeight="false" outlineLevel="0" collapsed="false">
      <c r="A498" s="0" t="n">
        <v>496</v>
      </c>
      <c r="B498" s="0" t="n">
        <f aca="false">calc_cohort!D$2+constant!$B$1*A498</f>
        <v>72.5333333333333</v>
      </c>
      <c r="C498" s="0" t="n">
        <f aca="false">_xlfn.FLOOR.MATH(B498)</f>
        <v>72</v>
      </c>
      <c r="D498" s="4" t="n">
        <f aca="false">INDEX(table_mortality_rate!$A$1:$C$2000,MATCH(C498,table_mortality_rate!$A$1:$A$2000,0),MATCH(calc_cohort!$E$2,table_mortality_rate!A$1:C$1,0))</f>
        <v>0.030718</v>
      </c>
      <c r="E498" s="0" t="n">
        <f aca="false">(1-D498)^constant!$B$1</f>
        <v>0.997403403025161</v>
      </c>
      <c r="F498" s="0" t="n">
        <f aca="false">IF(A498=0,1,F497*E498)</f>
        <v>0.756198871580389</v>
      </c>
      <c r="G498" s="5" t="b">
        <f aca="false">B498&gt;=calc_cohort!C$2</f>
        <v>1</v>
      </c>
      <c r="H498" s="0" t="n">
        <f aca="false">IF(G498,1,0)</f>
        <v>1</v>
      </c>
      <c r="I498" s="0" t="n">
        <f aca="false">calc_cohort!$B$2*constant!$B$1*F498*H498</f>
        <v>0.777624506275167</v>
      </c>
      <c r="J498" s="0" t="n">
        <f aca="false">INDEX(table_spot_rate!B$1:B$2000,MATCH(A498,table_spot_rate!A$1:A$2000,0))</f>
        <v>0.056454538541412</v>
      </c>
      <c r="K498" s="0" t="n">
        <f aca="false">(1+J498)^(-A498*constant!$B$1)</f>
        <v>0.103315715643666</v>
      </c>
      <c r="L498" s="0" t="n">
        <f aca="false">K498*I498</f>
        <v>0.0803408323678716</v>
      </c>
    </row>
    <row r="499" customFormat="false" ht="12.8" hidden="false" customHeight="false" outlineLevel="0" collapsed="false">
      <c r="A499" s="0" t="n">
        <v>497</v>
      </c>
      <c r="B499" s="0" t="n">
        <f aca="false">calc_cohort!D$2+constant!$B$1*A499</f>
        <v>72.6166666666667</v>
      </c>
      <c r="C499" s="0" t="n">
        <f aca="false">_xlfn.FLOOR.MATH(B499)</f>
        <v>72</v>
      </c>
      <c r="D499" s="4" t="n">
        <f aca="false">INDEX(table_mortality_rate!$A$1:$C$2000,MATCH(C499,table_mortality_rate!$A$1:$A$2000,0),MATCH(calc_cohort!$E$2,table_mortality_rate!A$1:C$1,0))</f>
        <v>0.030718</v>
      </c>
      <c r="E499" s="0" t="n">
        <f aca="false">(1-D499)^constant!$B$1</f>
        <v>0.997403403025161</v>
      </c>
      <c r="F499" s="0" t="n">
        <f aca="false">IF(A499=0,1,F498*E499)</f>
        <v>0.754235327878067</v>
      </c>
      <c r="G499" s="5" t="b">
        <f aca="false">B499&gt;=calc_cohort!C$2</f>
        <v>1</v>
      </c>
      <c r="H499" s="0" t="n">
        <f aca="false">IF(G499,1,0)</f>
        <v>1</v>
      </c>
      <c r="I499" s="0" t="n">
        <f aca="false">calc_cohort!$B$2*constant!$B$1*F499*H499</f>
        <v>0.775605328834612</v>
      </c>
      <c r="J499" s="0" t="n">
        <f aca="false">INDEX(table_spot_rate!B$1:B$2000,MATCH(A499,table_spot_rate!A$1:A$2000,0))</f>
        <v>0.0504808917730132</v>
      </c>
      <c r="K499" s="0" t="n">
        <f aca="false">(1+J499)^(-A499*constant!$B$1)</f>
        <v>0.130069008799251</v>
      </c>
      <c r="L499" s="0" t="n">
        <f aca="false">K499*I499</f>
        <v>0.100882216340935</v>
      </c>
    </row>
    <row r="500" customFormat="false" ht="12.8" hidden="false" customHeight="false" outlineLevel="0" collapsed="false">
      <c r="A500" s="0" t="n">
        <v>498</v>
      </c>
      <c r="B500" s="0" t="n">
        <f aca="false">calc_cohort!D$2+constant!$B$1*A500</f>
        <v>72.7</v>
      </c>
      <c r="C500" s="0" t="n">
        <f aca="false">_xlfn.FLOOR.MATH(B500)</f>
        <v>72</v>
      </c>
      <c r="D500" s="4" t="n">
        <f aca="false">INDEX(table_mortality_rate!$A$1:$C$2000,MATCH(C500,table_mortality_rate!$A$1:$A$2000,0),MATCH(calc_cohort!$E$2,table_mortality_rate!A$1:C$1,0))</f>
        <v>0.030718</v>
      </c>
      <c r="E500" s="0" t="n">
        <f aca="false">(1-D500)^constant!$B$1</f>
        <v>0.997403403025161</v>
      </c>
      <c r="F500" s="0" t="n">
        <f aca="false">IF(A500=0,1,F499*E500)</f>
        <v>0.752276882707382</v>
      </c>
      <c r="G500" s="5" t="b">
        <f aca="false">B500&gt;=calc_cohort!C$2</f>
        <v>1</v>
      </c>
      <c r="H500" s="0" t="n">
        <f aca="false">IF(G500,1,0)</f>
        <v>1</v>
      </c>
      <c r="I500" s="0" t="n">
        <f aca="false">calc_cohort!$B$2*constant!$B$1*F500*H500</f>
        <v>0.773591394384091</v>
      </c>
      <c r="J500" s="0" t="n">
        <f aca="false">INDEX(table_spot_rate!B$1:B$2000,MATCH(A500,table_spot_rate!A$1:A$2000,0))</f>
        <v>0.057134779331809</v>
      </c>
      <c r="K500" s="0" t="n">
        <f aca="false">(1+J500)^(-A500*constant!$B$1)</f>
        <v>0.0996758644516383</v>
      </c>
      <c r="L500" s="0" t="n">
        <f aca="false">K500*I500</f>
        <v>0.0771083909675825</v>
      </c>
    </row>
    <row r="501" customFormat="false" ht="12.8" hidden="false" customHeight="false" outlineLevel="0" collapsed="false">
      <c r="A501" s="0" t="n">
        <v>499</v>
      </c>
      <c r="B501" s="0" t="n">
        <f aca="false">calc_cohort!D$2+constant!$B$1*A501</f>
        <v>72.7833333333333</v>
      </c>
      <c r="C501" s="0" t="n">
        <f aca="false">_xlfn.FLOOR.MATH(B501)</f>
        <v>72</v>
      </c>
      <c r="D501" s="4" t="n">
        <f aca="false">INDEX(table_mortality_rate!$A$1:$C$2000,MATCH(C501,table_mortality_rate!$A$1:$A$2000,0),MATCH(calc_cohort!$E$2,table_mortality_rate!A$1:C$1,0))</f>
        <v>0.030718</v>
      </c>
      <c r="E501" s="0" t="n">
        <f aca="false">(1-D501)^constant!$B$1</f>
        <v>0.997403403025161</v>
      </c>
      <c r="F501" s="0" t="n">
        <f aca="false">IF(A501=0,1,F500*E501)</f>
        <v>0.750323522829502</v>
      </c>
      <c r="G501" s="5" t="b">
        <f aca="false">B501&gt;=calc_cohort!C$2</f>
        <v>1</v>
      </c>
      <c r="H501" s="0" t="n">
        <f aca="false">IF(G501,1,0)</f>
        <v>1</v>
      </c>
      <c r="I501" s="0" t="n">
        <f aca="false">calc_cohort!$B$2*constant!$B$1*F501*H501</f>
        <v>0.771582689309671</v>
      </c>
      <c r="J501" s="0" t="n">
        <f aca="false">INDEX(table_spot_rate!B$1:B$2000,MATCH(A501,table_spot_rate!A$1:A$2000,0))</f>
        <v>0.0572764577380598</v>
      </c>
      <c r="K501" s="0" t="n">
        <f aca="false">(1+J501)^(-A501*constant!$B$1)</f>
        <v>0.0986640563634374</v>
      </c>
      <c r="L501" s="0" t="n">
        <f aca="false">K501*I501</f>
        <v>0.076127477947102</v>
      </c>
    </row>
    <row r="502" customFormat="false" ht="12.8" hidden="false" customHeight="false" outlineLevel="0" collapsed="false">
      <c r="A502" s="0" t="n">
        <v>500</v>
      </c>
      <c r="B502" s="0" t="n">
        <f aca="false">calc_cohort!D$2+constant!$B$1*A502</f>
        <v>72.8666666666667</v>
      </c>
      <c r="C502" s="0" t="n">
        <f aca="false">_xlfn.FLOOR.MATH(B502)</f>
        <v>72</v>
      </c>
      <c r="D502" s="4" t="n">
        <f aca="false">INDEX(table_mortality_rate!$A$1:$C$2000,MATCH(C502,table_mortality_rate!$A$1:$A$2000,0),MATCH(calc_cohort!$E$2,table_mortality_rate!A$1:C$1,0))</f>
        <v>0.030718</v>
      </c>
      <c r="E502" s="0" t="n">
        <f aca="false">(1-D502)^constant!$B$1</f>
        <v>0.997403403025161</v>
      </c>
      <c r="F502" s="0" t="n">
        <f aca="false">IF(A502=0,1,F501*E502)</f>
        <v>0.748375235039972</v>
      </c>
      <c r="G502" s="5" t="b">
        <f aca="false">B502&gt;=calc_cohort!C$2</f>
        <v>1</v>
      </c>
      <c r="H502" s="0" t="n">
        <f aca="false">IF(G502,1,0)</f>
        <v>1</v>
      </c>
      <c r="I502" s="0" t="n">
        <f aca="false">calc_cohort!$B$2*constant!$B$1*F502*H502</f>
        <v>0.769579200032772</v>
      </c>
      <c r="J502" s="0" t="n">
        <f aca="false">INDEX(table_spot_rate!B$1:B$2000,MATCH(A502,table_spot_rate!A$1:A$2000,0))</f>
        <v>0.0580031790829433</v>
      </c>
      <c r="K502" s="0" t="n">
        <f aca="false">(1+J502)^(-A502*constant!$B$1)</f>
        <v>0.0954353943068978</v>
      </c>
      <c r="L502" s="0" t="n">
        <f aca="false">K502*I502</f>
        <v>0.0734450944055145</v>
      </c>
    </row>
    <row r="503" customFormat="false" ht="12.8" hidden="false" customHeight="false" outlineLevel="0" collapsed="false">
      <c r="A503" s="0" t="n">
        <v>501</v>
      </c>
      <c r="B503" s="0" t="n">
        <f aca="false">calc_cohort!D$2+constant!$B$1*A503</f>
        <v>72.95</v>
      </c>
      <c r="C503" s="0" t="n">
        <f aca="false">_xlfn.FLOOR.MATH(B503)</f>
        <v>72</v>
      </c>
      <c r="D503" s="4" t="n">
        <f aca="false">INDEX(table_mortality_rate!$A$1:$C$2000,MATCH(C503,table_mortality_rate!$A$1:$A$2000,0),MATCH(calc_cohort!$E$2,table_mortality_rate!A$1:C$1,0))</f>
        <v>0.030718</v>
      </c>
      <c r="E503" s="0" t="n">
        <f aca="false">(1-D503)^constant!$B$1</f>
        <v>0.997403403025161</v>
      </c>
      <c r="F503" s="0" t="n">
        <f aca="false">IF(A503=0,1,F502*E503)</f>
        <v>0.746432006168623</v>
      </c>
      <c r="G503" s="5" t="b">
        <f aca="false">B503&gt;=calc_cohort!C$2</f>
        <v>1</v>
      </c>
      <c r="H503" s="0" t="n">
        <f aca="false">IF(G503,1,0)</f>
        <v>1</v>
      </c>
      <c r="I503" s="0" t="n">
        <f aca="false">calc_cohort!$B$2*constant!$B$1*F503*H503</f>
        <v>0.767580913010067</v>
      </c>
      <c r="J503" s="0" t="n">
        <f aca="false">INDEX(table_spot_rate!B$1:B$2000,MATCH(A503,table_spot_rate!A$1:A$2000,0))</f>
        <v>0.052377658877556</v>
      </c>
      <c r="K503" s="0" t="n">
        <f aca="false">(1+J503)^(-A503*constant!$B$1)</f>
        <v>0.118668341750897</v>
      </c>
      <c r="L503" s="0" t="n">
        <f aca="false">K503*I503</f>
        <v>0.0910875541065443</v>
      </c>
    </row>
    <row r="504" customFormat="false" ht="12.8" hidden="false" customHeight="false" outlineLevel="0" collapsed="false">
      <c r="A504" s="0" t="n">
        <v>502</v>
      </c>
      <c r="B504" s="0" t="n">
        <f aca="false">calc_cohort!D$2+constant!$B$1*A504</f>
        <v>73.0333333333333</v>
      </c>
      <c r="C504" s="0" t="n">
        <f aca="false">_xlfn.FLOOR.MATH(B504)</f>
        <v>73</v>
      </c>
      <c r="D504" s="4" t="n">
        <f aca="false">INDEX(table_mortality_rate!$A$1:$C$2000,MATCH(C504,table_mortality_rate!$A$1:$A$2000,0),MATCH(calc_cohort!$E$2,table_mortality_rate!A$1:C$1,0))</f>
        <v>0.034144</v>
      </c>
      <c r="E504" s="0" t="n">
        <f aca="false">(1-D504)^constant!$B$1</f>
        <v>0.997109142914164</v>
      </c>
      <c r="F504" s="0" t="n">
        <f aca="false">IF(A504=0,1,F503*E504)</f>
        <v>0.744274177914496</v>
      </c>
      <c r="G504" s="5" t="b">
        <f aca="false">B504&gt;=calc_cohort!C$2</f>
        <v>1</v>
      </c>
      <c r="H504" s="0" t="n">
        <f aca="false">IF(G504,1,0)</f>
        <v>1</v>
      </c>
      <c r="I504" s="0" t="n">
        <f aca="false">calc_cohort!$B$2*constant!$B$1*F504*H504</f>
        <v>0.76536194628874</v>
      </c>
      <c r="J504" s="0" t="n">
        <f aca="false">INDEX(table_spot_rate!B$1:B$2000,MATCH(A504,table_spot_rate!A$1:A$2000,0))</f>
        <v>0.0579672614124933</v>
      </c>
      <c r="K504" s="0" t="n">
        <f aca="false">(1+J504)^(-A504*constant!$B$1)</f>
        <v>0.0946771327969344</v>
      </c>
      <c r="L504" s="0" t="n">
        <f aca="false">K504*I504</f>
        <v>0.0724622746264992</v>
      </c>
    </row>
    <row r="505" customFormat="false" ht="12.8" hidden="false" customHeight="false" outlineLevel="0" collapsed="false">
      <c r="A505" s="0" t="n">
        <v>503</v>
      </c>
      <c r="B505" s="0" t="n">
        <f aca="false">calc_cohort!D$2+constant!$B$1*A505</f>
        <v>73.1166666666667</v>
      </c>
      <c r="C505" s="0" t="n">
        <f aca="false">_xlfn.FLOOR.MATH(B505)</f>
        <v>73</v>
      </c>
      <c r="D505" s="4" t="n">
        <f aca="false">INDEX(table_mortality_rate!$A$1:$C$2000,MATCH(C505,table_mortality_rate!$A$1:$A$2000,0),MATCH(calc_cohort!$E$2,table_mortality_rate!A$1:C$1,0))</f>
        <v>0.034144</v>
      </c>
      <c r="E505" s="0" t="n">
        <f aca="false">(1-D505)^constant!$B$1</f>
        <v>0.997109142914164</v>
      </c>
      <c r="F505" s="0" t="n">
        <f aca="false">IF(A505=0,1,F504*E505)</f>
        <v>0.742122587633467</v>
      </c>
      <c r="G505" s="5" t="b">
        <f aca="false">B505&gt;=calc_cohort!C$2</f>
        <v>1</v>
      </c>
      <c r="H505" s="0" t="n">
        <f aca="false">IF(G505,1,0)</f>
        <v>1</v>
      </c>
      <c r="I505" s="0" t="n">
        <f aca="false">calc_cohort!$B$2*constant!$B$1*F505*H505</f>
        <v>0.763149394283082</v>
      </c>
      <c r="J505" s="0" t="n">
        <f aca="false">INDEX(table_spot_rate!B$1:B$2000,MATCH(A505,table_spot_rate!A$1:A$2000,0))</f>
        <v>0.0596418791184607</v>
      </c>
      <c r="K505" s="0" t="n">
        <f aca="false">(1+J505)^(-A505*constant!$B$1)</f>
        <v>0.0881888743627358</v>
      </c>
      <c r="L505" s="0" t="n">
        <f aca="false">K505*I505</f>
        <v>0.0673012860524286</v>
      </c>
    </row>
    <row r="506" customFormat="false" ht="12.8" hidden="false" customHeight="false" outlineLevel="0" collapsed="false">
      <c r="A506" s="0" t="n">
        <v>504</v>
      </c>
      <c r="B506" s="0" t="n">
        <f aca="false">calc_cohort!D$2+constant!$B$1*A506</f>
        <v>73.2</v>
      </c>
      <c r="C506" s="0" t="n">
        <f aca="false">_xlfn.FLOOR.MATH(B506)</f>
        <v>73</v>
      </c>
      <c r="D506" s="4" t="n">
        <f aca="false">INDEX(table_mortality_rate!$A$1:$C$2000,MATCH(C506,table_mortality_rate!$A$1:$A$2000,0),MATCH(calc_cohort!$E$2,table_mortality_rate!A$1:C$1,0))</f>
        <v>0.034144</v>
      </c>
      <c r="E506" s="0" t="n">
        <f aca="false">(1-D506)^constant!$B$1</f>
        <v>0.997109142914164</v>
      </c>
      <c r="F506" s="0" t="n">
        <f aca="false">IF(A506=0,1,F505*E506)</f>
        <v>0.739977217292448</v>
      </c>
      <c r="G506" s="5" t="b">
        <f aca="false">B506&gt;=calc_cohort!C$2</f>
        <v>1</v>
      </c>
      <c r="H506" s="0" t="n">
        <f aca="false">IF(G506,1,0)</f>
        <v>1</v>
      </c>
      <c r="I506" s="0" t="n">
        <f aca="false">calc_cohort!$B$2*constant!$B$1*F506*H506</f>
        <v>0.760943238449067</v>
      </c>
      <c r="J506" s="0" t="n">
        <f aca="false">INDEX(table_spot_rate!B$1:B$2000,MATCH(A506,table_spot_rate!A$1:A$2000,0))</f>
        <v>0.0561871392910762</v>
      </c>
      <c r="K506" s="0" t="n">
        <f aca="false">(1+J506)^(-A506*constant!$B$1)</f>
        <v>0.10066610170584</v>
      </c>
      <c r="L506" s="0" t="n">
        <f aca="false">K506*I506</f>
        <v>0.0766011894340848</v>
      </c>
    </row>
    <row r="507" customFormat="false" ht="12.8" hidden="false" customHeight="false" outlineLevel="0" collapsed="false">
      <c r="A507" s="0" t="n">
        <v>505</v>
      </c>
      <c r="B507" s="0" t="n">
        <f aca="false">calc_cohort!D$2+constant!$B$1*A507</f>
        <v>73.2833333333333</v>
      </c>
      <c r="C507" s="0" t="n">
        <f aca="false">_xlfn.FLOOR.MATH(B507)</f>
        <v>73</v>
      </c>
      <c r="D507" s="4" t="n">
        <f aca="false">INDEX(table_mortality_rate!$A$1:$C$2000,MATCH(C507,table_mortality_rate!$A$1:$A$2000,0),MATCH(calc_cohort!$E$2,table_mortality_rate!A$1:C$1,0))</f>
        <v>0.034144</v>
      </c>
      <c r="E507" s="0" t="n">
        <f aca="false">(1-D507)^constant!$B$1</f>
        <v>0.997109142914164</v>
      </c>
      <c r="F507" s="0" t="n">
        <f aca="false">IF(A507=0,1,F506*E507)</f>
        <v>0.73783804891048</v>
      </c>
      <c r="G507" s="5" t="b">
        <f aca="false">B507&gt;=calc_cohort!C$2</f>
        <v>1</v>
      </c>
      <c r="H507" s="0" t="n">
        <f aca="false">IF(G507,1,0)</f>
        <v>1</v>
      </c>
      <c r="I507" s="0" t="n">
        <f aca="false">calc_cohort!$B$2*constant!$B$1*F507*H507</f>
        <v>0.758743460296277</v>
      </c>
      <c r="J507" s="0" t="n">
        <f aca="false">INDEX(table_spot_rate!B$1:B$2000,MATCH(A507,table_spot_rate!A$1:A$2000,0))</f>
        <v>0.0598639029499442</v>
      </c>
      <c r="K507" s="0" t="n">
        <f aca="false">(1+J507)^(-A507*constant!$B$1)</f>
        <v>0.0865748161253229</v>
      </c>
      <c r="L507" s="0" t="n">
        <f aca="false">K507*I507</f>
        <v>0.0656880755614414</v>
      </c>
    </row>
    <row r="508" customFormat="false" ht="12.8" hidden="false" customHeight="false" outlineLevel="0" collapsed="false">
      <c r="A508" s="0" t="n">
        <v>506</v>
      </c>
      <c r="B508" s="0" t="n">
        <f aca="false">calc_cohort!D$2+constant!$B$1*A508</f>
        <v>73.3666666666667</v>
      </c>
      <c r="C508" s="0" t="n">
        <f aca="false">_xlfn.FLOOR.MATH(B508)</f>
        <v>73</v>
      </c>
      <c r="D508" s="4" t="n">
        <f aca="false">INDEX(table_mortality_rate!$A$1:$C$2000,MATCH(C508,table_mortality_rate!$A$1:$A$2000,0),MATCH(calc_cohort!$E$2,table_mortality_rate!A$1:C$1,0))</f>
        <v>0.034144</v>
      </c>
      <c r="E508" s="0" t="n">
        <f aca="false">(1-D508)^constant!$B$1</f>
        <v>0.997109142914164</v>
      </c>
      <c r="F508" s="0" t="n">
        <f aca="false">IF(A508=0,1,F507*E508)</f>
        <v>0.735705064558588</v>
      </c>
      <c r="G508" s="5" t="b">
        <f aca="false">B508&gt;=calc_cohort!C$2</f>
        <v>1</v>
      </c>
      <c r="H508" s="0" t="n">
        <f aca="false">IF(G508,1,0)</f>
        <v>1</v>
      </c>
      <c r="I508" s="0" t="n">
        <f aca="false">calc_cohort!$B$2*constant!$B$1*F508*H508</f>
        <v>0.756550041387748</v>
      </c>
      <c r="J508" s="0" t="n">
        <f aca="false">INDEX(table_spot_rate!B$1:B$2000,MATCH(A508,table_spot_rate!A$1:A$2000,0))</f>
        <v>0.0510558685986408</v>
      </c>
      <c r="K508" s="0" t="n">
        <f aca="false">(1+J508)^(-A508*constant!$B$1)</f>
        <v>0.122493216517908</v>
      </c>
      <c r="L508" s="0" t="n">
        <f aca="false">K508*I508</f>
        <v>0.0926722480263417</v>
      </c>
    </row>
    <row r="509" customFormat="false" ht="12.8" hidden="false" customHeight="false" outlineLevel="0" collapsed="false">
      <c r="A509" s="0" t="n">
        <v>507</v>
      </c>
      <c r="B509" s="0" t="n">
        <f aca="false">calc_cohort!D$2+constant!$B$1*A509</f>
        <v>73.45</v>
      </c>
      <c r="C509" s="0" t="n">
        <f aca="false">_xlfn.FLOOR.MATH(B509)</f>
        <v>73</v>
      </c>
      <c r="D509" s="4" t="n">
        <f aca="false">INDEX(table_mortality_rate!$A$1:$C$2000,MATCH(C509,table_mortality_rate!$A$1:$A$2000,0),MATCH(calc_cohort!$E$2,table_mortality_rate!A$1:C$1,0))</f>
        <v>0.034144</v>
      </c>
      <c r="E509" s="0" t="n">
        <f aca="false">(1-D509)^constant!$B$1</f>
        <v>0.997109142914164</v>
      </c>
      <c r="F509" s="0" t="n">
        <f aca="false">IF(A509=0,1,F508*E509)</f>
        <v>0.733578246359624</v>
      </c>
      <c r="G509" s="5" t="b">
        <f aca="false">B509&gt;=calc_cohort!C$2</f>
        <v>1</v>
      </c>
      <c r="H509" s="0" t="n">
        <f aca="false">IF(G509,1,0)</f>
        <v>1</v>
      </c>
      <c r="I509" s="0" t="n">
        <f aca="false">calc_cohort!$B$2*constant!$B$1*F509*H509</f>
        <v>0.754362963339813</v>
      </c>
      <c r="J509" s="0" t="n">
        <f aca="false">INDEX(table_spot_rate!B$1:B$2000,MATCH(A509,table_spot_rate!A$1:A$2000,0))</f>
        <v>0.05178981988253</v>
      </c>
      <c r="K509" s="0" t="n">
        <f aca="false">(1+J509)^(-A509*constant!$B$1)</f>
        <v>0.118440794549309</v>
      </c>
      <c r="L509" s="0" t="n">
        <f aca="false">K509*I509</f>
        <v>0.0893473487565389</v>
      </c>
    </row>
    <row r="510" customFormat="false" ht="12.8" hidden="false" customHeight="false" outlineLevel="0" collapsed="false">
      <c r="A510" s="0" t="n">
        <v>508</v>
      </c>
      <c r="B510" s="0" t="n">
        <f aca="false">calc_cohort!D$2+constant!$B$1*A510</f>
        <v>73.5333333333333</v>
      </c>
      <c r="C510" s="0" t="n">
        <f aca="false">_xlfn.FLOOR.MATH(B510)</f>
        <v>73</v>
      </c>
      <c r="D510" s="4" t="n">
        <f aca="false">INDEX(table_mortality_rate!$A$1:$C$2000,MATCH(C510,table_mortality_rate!$A$1:$A$2000,0),MATCH(calc_cohort!$E$2,table_mortality_rate!A$1:C$1,0))</f>
        <v>0.034144</v>
      </c>
      <c r="E510" s="0" t="n">
        <f aca="false">(1-D510)^constant!$B$1</f>
        <v>0.997109142914164</v>
      </c>
      <c r="F510" s="0" t="n">
        <f aca="false">IF(A510=0,1,F509*E510)</f>
        <v>0.73145757648812</v>
      </c>
      <c r="G510" s="5" t="b">
        <f aca="false">B510&gt;=calc_cohort!C$2</f>
        <v>1</v>
      </c>
      <c r="H510" s="0" t="n">
        <f aca="false">IF(G510,1,0)</f>
        <v>1</v>
      </c>
      <c r="I510" s="0" t="n">
        <f aca="false">calc_cohort!$B$2*constant!$B$1*F510*H510</f>
        <v>0.75218220782195</v>
      </c>
      <c r="J510" s="0" t="n">
        <f aca="false">INDEX(table_spot_rate!B$1:B$2000,MATCH(A510,table_spot_rate!A$1:A$2000,0))</f>
        <v>0.0583162497990759</v>
      </c>
      <c r="K510" s="0" t="n">
        <f aca="false">(1+J510)^(-A510*constant!$B$1)</f>
        <v>0.0907706271341021</v>
      </c>
      <c r="L510" s="0" t="n">
        <f aca="false">K510*I510</f>
        <v>0.0682760507231119</v>
      </c>
    </row>
    <row r="511" customFormat="false" ht="12.8" hidden="false" customHeight="false" outlineLevel="0" collapsed="false">
      <c r="A511" s="0" t="n">
        <v>509</v>
      </c>
      <c r="B511" s="0" t="n">
        <f aca="false">calc_cohort!D$2+constant!$B$1*A511</f>
        <v>73.6166666666667</v>
      </c>
      <c r="C511" s="0" t="n">
        <f aca="false">_xlfn.FLOOR.MATH(B511)</f>
        <v>73</v>
      </c>
      <c r="D511" s="4" t="n">
        <f aca="false">INDEX(table_mortality_rate!$A$1:$C$2000,MATCH(C511,table_mortality_rate!$A$1:$A$2000,0),MATCH(calc_cohort!$E$2,table_mortality_rate!A$1:C$1,0))</f>
        <v>0.034144</v>
      </c>
      <c r="E511" s="0" t="n">
        <f aca="false">(1-D511)^constant!$B$1</f>
        <v>0.997109142914164</v>
      </c>
      <c r="F511" s="0" t="n">
        <f aca="false">IF(A511=0,1,F510*E511)</f>
        <v>0.729343037170141</v>
      </c>
      <c r="G511" s="5" t="b">
        <f aca="false">B511&gt;=calc_cohort!C$2</f>
        <v>1</v>
      </c>
      <c r="H511" s="0" t="n">
        <f aca="false">IF(G511,1,0)</f>
        <v>1</v>
      </c>
      <c r="I511" s="0" t="n">
        <f aca="false">calc_cohort!$B$2*constant!$B$1*F511*H511</f>
        <v>0.750007756556628</v>
      </c>
      <c r="J511" s="0" t="n">
        <f aca="false">INDEX(table_spot_rate!B$1:B$2000,MATCH(A511,table_spot_rate!A$1:A$2000,0))</f>
        <v>0.0553314105748733</v>
      </c>
      <c r="K511" s="0" t="n">
        <f aca="false">(1+J511)^(-A511*constant!$B$1)</f>
        <v>0.101840923495873</v>
      </c>
      <c r="L511" s="0" t="n">
        <f aca="false">K511*I511</f>
        <v>0.0763814825567946</v>
      </c>
    </row>
    <row r="512" customFormat="false" ht="12.8" hidden="false" customHeight="false" outlineLevel="0" collapsed="false">
      <c r="A512" s="0" t="n">
        <v>510</v>
      </c>
      <c r="B512" s="0" t="n">
        <f aca="false">calc_cohort!D$2+constant!$B$1*A512</f>
        <v>73.7</v>
      </c>
      <c r="C512" s="0" t="n">
        <f aca="false">_xlfn.FLOOR.MATH(B512)</f>
        <v>73</v>
      </c>
      <c r="D512" s="4" t="n">
        <f aca="false">INDEX(table_mortality_rate!$A$1:$C$2000,MATCH(C512,table_mortality_rate!$A$1:$A$2000,0),MATCH(calc_cohort!$E$2,table_mortality_rate!A$1:C$1,0))</f>
        <v>0.034144</v>
      </c>
      <c r="E512" s="0" t="n">
        <f aca="false">(1-D512)^constant!$B$1</f>
        <v>0.997109142914164</v>
      </c>
      <c r="F512" s="0" t="n">
        <f aca="false">IF(A512=0,1,F511*E512)</f>
        <v>0.727234610683132</v>
      </c>
      <c r="G512" s="5" t="b">
        <f aca="false">B512&gt;=calc_cohort!C$2</f>
        <v>1</v>
      </c>
      <c r="H512" s="0" t="n">
        <f aca="false">IF(G512,1,0)</f>
        <v>1</v>
      </c>
      <c r="I512" s="0" t="n">
        <f aca="false">calc_cohort!$B$2*constant!$B$1*F512*H512</f>
        <v>0.747839591319154</v>
      </c>
      <c r="J512" s="0" t="n">
        <f aca="false">INDEX(table_spot_rate!B$1:B$2000,MATCH(A512,table_spot_rate!A$1:A$2000,0))</f>
        <v>0.0566588473744419</v>
      </c>
      <c r="K512" s="0" t="n">
        <f aca="false">(1+J512)^(-A512*constant!$B$1)</f>
        <v>0.0961105951881305</v>
      </c>
      <c r="L512" s="0" t="n">
        <f aca="false">K512*I512</f>
        <v>0.0718753082269322</v>
      </c>
    </row>
    <row r="513" customFormat="false" ht="12.8" hidden="false" customHeight="false" outlineLevel="0" collapsed="false">
      <c r="A513" s="0" t="n">
        <v>511</v>
      </c>
      <c r="B513" s="0" t="n">
        <f aca="false">calc_cohort!D$2+constant!$B$1*A513</f>
        <v>73.7833333333333</v>
      </c>
      <c r="C513" s="0" t="n">
        <f aca="false">_xlfn.FLOOR.MATH(B513)</f>
        <v>73</v>
      </c>
      <c r="D513" s="4" t="n">
        <f aca="false">INDEX(table_mortality_rate!$A$1:$C$2000,MATCH(C513,table_mortality_rate!$A$1:$A$2000,0),MATCH(calc_cohort!$E$2,table_mortality_rate!A$1:C$1,0))</f>
        <v>0.034144</v>
      </c>
      <c r="E513" s="0" t="n">
        <f aca="false">(1-D513)^constant!$B$1</f>
        <v>0.997109142914164</v>
      </c>
      <c r="F513" s="0" t="n">
        <f aca="false">IF(A513=0,1,F512*E513)</f>
        <v>0.725132279355774</v>
      </c>
      <c r="G513" s="5" t="b">
        <f aca="false">B513&gt;=calc_cohort!C$2</f>
        <v>1</v>
      </c>
      <c r="H513" s="0" t="n">
        <f aca="false">IF(G513,1,0)</f>
        <v>1</v>
      </c>
      <c r="I513" s="0" t="n">
        <f aca="false">calc_cohort!$B$2*constant!$B$1*F513*H513</f>
        <v>0.745677693937521</v>
      </c>
      <c r="J513" s="0" t="n">
        <f aca="false">INDEX(table_spot_rate!B$1:B$2000,MATCH(A513,table_spot_rate!A$1:A$2000,0))</f>
        <v>0.0504930896876042</v>
      </c>
      <c r="K513" s="0" t="n">
        <f aca="false">(1+J513)^(-A513*constant!$B$1)</f>
        <v>0.12274568613936</v>
      </c>
      <c r="L513" s="0" t="n">
        <f aca="false">K513*I513</f>
        <v>0.0915287201811764</v>
      </c>
    </row>
    <row r="514" customFormat="false" ht="12.8" hidden="false" customHeight="false" outlineLevel="0" collapsed="false">
      <c r="A514" s="0" t="n">
        <v>512</v>
      </c>
      <c r="B514" s="0" t="n">
        <f aca="false">calc_cohort!D$2+constant!$B$1*A514</f>
        <v>73.8666666666667</v>
      </c>
      <c r="C514" s="0" t="n">
        <f aca="false">_xlfn.FLOOR.MATH(B514)</f>
        <v>73</v>
      </c>
      <c r="D514" s="4" t="n">
        <f aca="false">INDEX(table_mortality_rate!$A$1:$C$2000,MATCH(C514,table_mortality_rate!$A$1:$A$2000,0),MATCH(calc_cohort!$E$2,table_mortality_rate!A$1:C$1,0))</f>
        <v>0.034144</v>
      </c>
      <c r="E514" s="0" t="n">
        <f aca="false">(1-D514)^constant!$B$1</f>
        <v>0.997109142914164</v>
      </c>
      <c r="F514" s="0" t="n">
        <f aca="false">IF(A514=0,1,F513*E514)</f>
        <v>0.72303602556783</v>
      </c>
      <c r="G514" s="5" t="b">
        <f aca="false">B514&gt;=calc_cohort!C$2</f>
        <v>1</v>
      </c>
      <c r="H514" s="0" t="n">
        <f aca="false">IF(G514,1,0)</f>
        <v>1</v>
      </c>
      <c r="I514" s="0" t="n">
        <f aca="false">calc_cohort!$B$2*constant!$B$1*F514*H514</f>
        <v>0.743522046292251</v>
      </c>
      <c r="J514" s="0" t="n">
        <f aca="false">INDEX(table_spot_rate!B$1:B$2000,MATCH(A514,table_spot_rate!A$1:A$2000,0))</f>
        <v>0.0564898943163129</v>
      </c>
      <c r="K514" s="0" t="n">
        <f aca="false">(1+J514)^(-A514*constant!$B$1)</f>
        <v>0.0958837883664719</v>
      </c>
      <c r="L514" s="0" t="n">
        <f aca="false">K514*I514</f>
        <v>0.0712917105324924</v>
      </c>
    </row>
    <row r="515" customFormat="false" ht="12.8" hidden="false" customHeight="false" outlineLevel="0" collapsed="false">
      <c r="A515" s="0" t="n">
        <v>513</v>
      </c>
      <c r="B515" s="0" t="n">
        <f aca="false">calc_cohort!D$2+constant!$B$1*A515</f>
        <v>73.95</v>
      </c>
      <c r="C515" s="0" t="n">
        <f aca="false">_xlfn.FLOOR.MATH(B515)</f>
        <v>73</v>
      </c>
      <c r="D515" s="4" t="n">
        <f aca="false">INDEX(table_mortality_rate!$A$1:$C$2000,MATCH(C515,table_mortality_rate!$A$1:$A$2000,0),MATCH(calc_cohort!$E$2,table_mortality_rate!A$1:C$1,0))</f>
        <v>0.034144</v>
      </c>
      <c r="E515" s="0" t="n">
        <f aca="false">(1-D515)^constant!$B$1</f>
        <v>0.997109142914164</v>
      </c>
      <c r="F515" s="0" t="n">
        <f aca="false">IF(A515=0,1,F514*E515)</f>
        <v>0.720945831750002</v>
      </c>
      <c r="G515" s="5" t="b">
        <f aca="false">B515&gt;=calc_cohort!C$2</f>
        <v>1</v>
      </c>
      <c r="H515" s="0" t="n">
        <f aca="false">IF(G515,1,0)</f>
        <v>1</v>
      </c>
      <c r="I515" s="0" t="n">
        <f aca="false">calc_cohort!$B$2*constant!$B$1*F515*H515</f>
        <v>0.741372630316252</v>
      </c>
      <c r="J515" s="0" t="n">
        <f aca="false">INDEX(table_spot_rate!B$1:B$2000,MATCH(A515,table_spot_rate!A$1:A$2000,0))</f>
        <v>0.0562308901297821</v>
      </c>
      <c r="K515" s="0" t="n">
        <f aca="false">(1+J515)^(-A515*constant!$B$1)</f>
        <v>0.0964514010248333</v>
      </c>
      <c r="L515" s="0" t="n">
        <f aca="false">K515*I515</f>
        <v>0.0715064288754684</v>
      </c>
    </row>
    <row r="516" customFormat="false" ht="12.8" hidden="false" customHeight="false" outlineLevel="0" collapsed="false">
      <c r="A516" s="0" t="n">
        <v>514</v>
      </c>
      <c r="B516" s="0" t="n">
        <f aca="false">calc_cohort!D$2+constant!$B$1*A516</f>
        <v>74.0333333333333</v>
      </c>
      <c r="C516" s="0" t="n">
        <f aca="false">_xlfn.FLOOR.MATH(B516)</f>
        <v>74</v>
      </c>
      <c r="D516" s="4" t="n">
        <f aca="false">INDEX(table_mortality_rate!$A$1:$C$2000,MATCH(C516,table_mortality_rate!$A$1:$A$2000,0),MATCH(calc_cohort!$E$2,table_mortality_rate!A$1:C$1,0))</f>
        <v>0.037911</v>
      </c>
      <c r="E516" s="0" t="n">
        <f aca="false">(1-D516)^constant!$B$1</f>
        <v>0.99678448778488</v>
      </c>
      <c r="F516" s="0" t="n">
        <f aca="false">IF(A516=0,1,F515*E516)</f>
        <v>0.71862762162157</v>
      </c>
      <c r="G516" s="5" t="b">
        <f aca="false">B516&gt;=calc_cohort!C$2</f>
        <v>1</v>
      </c>
      <c r="H516" s="0" t="n">
        <f aca="false">IF(G516,1,0)</f>
        <v>1</v>
      </c>
      <c r="I516" s="0" t="n">
        <f aca="false">calc_cohort!$B$2*constant!$B$1*F516*H516</f>
        <v>0.738988737567514</v>
      </c>
      <c r="J516" s="0" t="n">
        <f aca="false">INDEX(table_spot_rate!B$1:B$2000,MATCH(A516,table_spot_rate!A$1:A$2000,0))</f>
        <v>0.0540851927228557</v>
      </c>
      <c r="K516" s="0" t="n">
        <f aca="false">(1+J516)^(-A516*constant!$B$1)</f>
        <v>0.10475071022962</v>
      </c>
      <c r="L516" s="0" t="n">
        <f aca="false">K516*I516</f>
        <v>0.0774095951118874</v>
      </c>
    </row>
    <row r="517" customFormat="false" ht="12.8" hidden="false" customHeight="false" outlineLevel="0" collapsed="false">
      <c r="A517" s="0" t="n">
        <v>515</v>
      </c>
      <c r="B517" s="0" t="n">
        <f aca="false">calc_cohort!D$2+constant!$B$1*A517</f>
        <v>74.1166666666667</v>
      </c>
      <c r="C517" s="0" t="n">
        <f aca="false">_xlfn.FLOOR.MATH(B517)</f>
        <v>74</v>
      </c>
      <c r="D517" s="4" t="n">
        <f aca="false">INDEX(table_mortality_rate!$A$1:$C$2000,MATCH(C517,table_mortality_rate!$A$1:$A$2000,0),MATCH(calc_cohort!$E$2,table_mortality_rate!A$1:C$1,0))</f>
        <v>0.037911</v>
      </c>
      <c r="E517" s="0" t="n">
        <f aca="false">(1-D517)^constant!$B$1</f>
        <v>0.99678448778488</v>
      </c>
      <c r="F517" s="0" t="n">
        <f aca="false">IF(A517=0,1,F516*E517)</f>
        <v>0.716316865726123</v>
      </c>
      <c r="G517" s="5" t="b">
        <f aca="false">B517&gt;=calc_cohort!C$2</f>
        <v>1</v>
      </c>
      <c r="H517" s="0" t="n">
        <f aca="false">IF(G517,1,0)</f>
        <v>1</v>
      </c>
      <c r="I517" s="0" t="n">
        <f aca="false">calc_cohort!$B$2*constant!$B$1*F517*H517</f>
        <v>0.73661251025503</v>
      </c>
      <c r="J517" s="0" t="n">
        <f aca="false">INDEX(table_spot_rate!B$1:B$2000,MATCH(A517,table_spot_rate!A$1:A$2000,0))</f>
        <v>0.0560736802255851</v>
      </c>
      <c r="K517" s="0" t="n">
        <f aca="false">(1+J517)^(-A517*constant!$B$1)</f>
        <v>0.0961884873397698</v>
      </c>
      <c r="L517" s="0" t="n">
        <f aca="false">K517*I517</f>
        <v>0.070853643116982</v>
      </c>
    </row>
    <row r="518" customFormat="false" ht="12.8" hidden="false" customHeight="false" outlineLevel="0" collapsed="false">
      <c r="A518" s="0" t="n">
        <v>516</v>
      </c>
      <c r="B518" s="0" t="n">
        <f aca="false">calc_cohort!D$2+constant!$B$1*A518</f>
        <v>74.2</v>
      </c>
      <c r="C518" s="0" t="n">
        <f aca="false">_xlfn.FLOOR.MATH(B518)</f>
        <v>74</v>
      </c>
      <c r="D518" s="4" t="n">
        <f aca="false">INDEX(table_mortality_rate!$A$1:$C$2000,MATCH(C518,table_mortality_rate!$A$1:$A$2000,0),MATCH(calc_cohort!$E$2,table_mortality_rate!A$1:C$1,0))</f>
        <v>0.037911</v>
      </c>
      <c r="E518" s="0" t="n">
        <f aca="false">(1-D518)^constant!$B$1</f>
        <v>0.99678448778488</v>
      </c>
      <c r="F518" s="0" t="n">
        <f aca="false">IF(A518=0,1,F517*E518)</f>
        <v>0.714013540094484</v>
      </c>
      <c r="G518" s="5" t="b">
        <f aca="false">B518&gt;=calc_cohort!C$2</f>
        <v>1</v>
      </c>
      <c r="H518" s="0" t="n">
        <f aca="false">IF(G518,1,0)</f>
        <v>1</v>
      </c>
      <c r="I518" s="0" t="n">
        <f aca="false">calc_cohort!$B$2*constant!$B$1*F518*H518</f>
        <v>0.734243923730494</v>
      </c>
      <c r="J518" s="0" t="n">
        <f aca="false">INDEX(table_spot_rate!B$1:B$2000,MATCH(A518,table_spot_rate!A$1:A$2000,0))</f>
        <v>0.0592452100750847</v>
      </c>
      <c r="K518" s="0" t="n">
        <f aca="false">(1+J518)^(-A518*constant!$B$1)</f>
        <v>0.0841686035890236</v>
      </c>
      <c r="L518" s="0" t="n">
        <f aca="false">K518*I518</f>
        <v>0.0618002857541212</v>
      </c>
    </row>
    <row r="519" customFormat="false" ht="12.8" hidden="false" customHeight="false" outlineLevel="0" collapsed="false">
      <c r="A519" s="0" t="n">
        <v>517</v>
      </c>
      <c r="B519" s="0" t="n">
        <f aca="false">calc_cohort!D$2+constant!$B$1*A519</f>
        <v>74.2833333333333</v>
      </c>
      <c r="C519" s="0" t="n">
        <f aca="false">_xlfn.FLOOR.MATH(B519)</f>
        <v>74</v>
      </c>
      <c r="D519" s="4" t="n">
        <f aca="false">INDEX(table_mortality_rate!$A$1:$C$2000,MATCH(C519,table_mortality_rate!$A$1:$A$2000,0),MATCH(calc_cohort!$E$2,table_mortality_rate!A$1:C$1,0))</f>
        <v>0.037911</v>
      </c>
      <c r="E519" s="0" t="n">
        <f aca="false">(1-D519)^constant!$B$1</f>
        <v>0.99678448778488</v>
      </c>
      <c r="F519" s="0" t="n">
        <f aca="false">IF(A519=0,1,F518*E519)</f>
        <v>0.711717620834548</v>
      </c>
      <c r="G519" s="5" t="b">
        <f aca="false">B519&gt;=calc_cohort!C$2</f>
        <v>1</v>
      </c>
      <c r="H519" s="0" t="n">
        <f aca="false">IF(G519,1,0)</f>
        <v>1</v>
      </c>
      <c r="I519" s="0" t="n">
        <f aca="false">calc_cohort!$B$2*constant!$B$1*F519*H519</f>
        <v>0.731882953424861</v>
      </c>
      <c r="J519" s="0" t="n">
        <f aca="false">INDEX(table_spot_rate!B$1:B$2000,MATCH(A519,table_spot_rate!A$1:A$2000,0))</f>
        <v>0.0590065605944063</v>
      </c>
      <c r="K519" s="0" t="n">
        <f aca="false">(1+J519)^(-A519*constant!$B$1)</f>
        <v>0.0845830102019466</v>
      </c>
      <c r="L519" s="0" t="n">
        <f aca="false">K519*I519</f>
        <v>0.0619048633161658</v>
      </c>
    </row>
    <row r="520" customFormat="false" ht="12.8" hidden="false" customHeight="false" outlineLevel="0" collapsed="false">
      <c r="A520" s="0" t="n">
        <v>518</v>
      </c>
      <c r="B520" s="0" t="n">
        <f aca="false">calc_cohort!D$2+constant!$B$1*A520</f>
        <v>74.3666666666667</v>
      </c>
      <c r="C520" s="0" t="n">
        <f aca="false">_xlfn.FLOOR.MATH(B520)</f>
        <v>74</v>
      </c>
      <c r="D520" s="4" t="n">
        <f aca="false">INDEX(table_mortality_rate!$A$1:$C$2000,MATCH(C520,table_mortality_rate!$A$1:$A$2000,0),MATCH(calc_cohort!$E$2,table_mortality_rate!A$1:C$1,0))</f>
        <v>0.037911</v>
      </c>
      <c r="E520" s="0" t="n">
        <f aca="false">(1-D520)^constant!$B$1</f>
        <v>0.99678448778488</v>
      </c>
      <c r="F520" s="0" t="n">
        <f aca="false">IF(A520=0,1,F519*E520)</f>
        <v>0.709429084131038</v>
      </c>
      <c r="G520" s="5" t="b">
        <f aca="false">B520&gt;=calc_cohort!C$2</f>
        <v>1</v>
      </c>
      <c r="H520" s="0" t="n">
        <f aca="false">IF(G520,1,0)</f>
        <v>1</v>
      </c>
      <c r="I520" s="0" t="n">
        <f aca="false">calc_cohort!$B$2*constant!$B$1*F520*H520</f>
        <v>0.729529574848085</v>
      </c>
      <c r="J520" s="0" t="n">
        <f aca="false">INDEX(table_spot_rate!B$1:B$2000,MATCH(A520,table_spot_rate!A$1:A$2000,0))</f>
        <v>0.0503580661347944</v>
      </c>
      <c r="K520" s="0" t="n">
        <f aca="false">(1+J520)^(-A520*constant!$B$1)</f>
        <v>0.119932434502888</v>
      </c>
      <c r="L520" s="0" t="n">
        <f aca="false">K520*I520</f>
        <v>0.0874942579533878</v>
      </c>
    </row>
    <row r="521" customFormat="false" ht="12.8" hidden="false" customHeight="false" outlineLevel="0" collapsed="false">
      <c r="A521" s="0" t="n">
        <v>519</v>
      </c>
      <c r="B521" s="0" t="n">
        <f aca="false">calc_cohort!D$2+constant!$B$1*A521</f>
        <v>74.45</v>
      </c>
      <c r="C521" s="0" t="n">
        <f aca="false">_xlfn.FLOOR.MATH(B521)</f>
        <v>74</v>
      </c>
      <c r="D521" s="4" t="n">
        <f aca="false">INDEX(table_mortality_rate!$A$1:$C$2000,MATCH(C521,table_mortality_rate!$A$1:$A$2000,0),MATCH(calc_cohort!$E$2,table_mortality_rate!A$1:C$1,0))</f>
        <v>0.037911</v>
      </c>
      <c r="E521" s="0" t="n">
        <f aca="false">(1-D521)^constant!$B$1</f>
        <v>0.99678448778488</v>
      </c>
      <c r="F521" s="0" t="n">
        <f aca="false">IF(A521=0,1,F520*E521)</f>
        <v>0.707147906245253</v>
      </c>
      <c r="G521" s="5" t="b">
        <f aca="false">B521&gt;=calc_cohort!C$2</f>
        <v>1</v>
      </c>
      <c r="H521" s="0" t="n">
        <f aca="false">IF(G521,1,0)</f>
        <v>1</v>
      </c>
      <c r="I521" s="0" t="n">
        <f aca="false">calc_cohort!$B$2*constant!$B$1*F521*H521</f>
        <v>0.727183763588869</v>
      </c>
      <c r="J521" s="0" t="n">
        <f aca="false">INDEX(table_spot_rate!B$1:B$2000,MATCH(A521,table_spot_rate!A$1:A$2000,0))</f>
        <v>0.0593004760446116</v>
      </c>
      <c r="K521" s="0" t="n">
        <f aca="false">(1+J521)^(-A521*constant!$B$1)</f>
        <v>0.0827791585856157</v>
      </c>
      <c r="L521" s="0" t="n">
        <f aca="false">K521*I521</f>
        <v>0.0601956600870079</v>
      </c>
    </row>
    <row r="522" customFormat="false" ht="12.8" hidden="false" customHeight="false" outlineLevel="0" collapsed="false">
      <c r="A522" s="0" t="n">
        <v>520</v>
      </c>
      <c r="B522" s="0" t="n">
        <f aca="false">calc_cohort!D$2+constant!$B$1*A522</f>
        <v>74.5333333333333</v>
      </c>
      <c r="C522" s="0" t="n">
        <f aca="false">_xlfn.FLOOR.MATH(B522)</f>
        <v>74</v>
      </c>
      <c r="D522" s="4" t="n">
        <f aca="false">INDEX(table_mortality_rate!$A$1:$C$2000,MATCH(C522,table_mortality_rate!$A$1:$A$2000,0),MATCH(calc_cohort!$E$2,table_mortality_rate!A$1:C$1,0))</f>
        <v>0.037911</v>
      </c>
      <c r="E522" s="0" t="n">
        <f aca="false">(1-D522)^constant!$B$1</f>
        <v>0.99678448778488</v>
      </c>
      <c r="F522" s="0" t="n">
        <f aca="false">IF(A522=0,1,F521*E522)</f>
        <v>0.704874063514825</v>
      </c>
      <c r="G522" s="5" t="b">
        <f aca="false">B522&gt;=calc_cohort!C$2</f>
        <v>1</v>
      </c>
      <c r="H522" s="0" t="n">
        <f aca="false">IF(G522,1,0)</f>
        <v>1</v>
      </c>
      <c r="I522" s="0" t="n">
        <f aca="false">calc_cohort!$B$2*constant!$B$1*F522*H522</f>
        <v>0.724845495314412</v>
      </c>
      <c r="J522" s="0" t="n">
        <f aca="false">INDEX(table_spot_rate!B$1:B$2000,MATCH(A522,table_spot_rate!A$1:A$2000,0))</f>
        <v>0.0558109233710858</v>
      </c>
      <c r="K522" s="0" t="n">
        <f aca="false">(1+J522)^(-A522*constant!$B$1)</f>
        <v>0.0950459163033218</v>
      </c>
      <c r="L522" s="0" t="n">
        <f aca="false">K522*I522</f>
        <v>0.0688936042804934</v>
      </c>
    </row>
    <row r="523" customFormat="false" ht="12.8" hidden="false" customHeight="false" outlineLevel="0" collapsed="false">
      <c r="A523" s="0" t="n">
        <v>521</v>
      </c>
      <c r="B523" s="0" t="n">
        <f aca="false">calc_cohort!D$2+constant!$B$1*A523</f>
        <v>74.6166666666667</v>
      </c>
      <c r="C523" s="0" t="n">
        <f aca="false">_xlfn.FLOOR.MATH(B523)</f>
        <v>74</v>
      </c>
      <c r="D523" s="4" t="n">
        <f aca="false">INDEX(table_mortality_rate!$A$1:$C$2000,MATCH(C523,table_mortality_rate!$A$1:$A$2000,0),MATCH(calc_cohort!$E$2,table_mortality_rate!A$1:C$1,0))</f>
        <v>0.037911</v>
      </c>
      <c r="E523" s="0" t="n">
        <f aca="false">(1-D523)^constant!$B$1</f>
        <v>0.99678448778488</v>
      </c>
      <c r="F523" s="0" t="n">
        <f aca="false">IF(A523=0,1,F522*E523)</f>
        <v>0.702607532353472</v>
      </c>
      <c r="G523" s="5" t="b">
        <f aca="false">B523&gt;=calc_cohort!C$2</f>
        <v>1</v>
      </c>
      <c r="H523" s="0" t="n">
        <f aca="false">IF(G523,1,0)</f>
        <v>1</v>
      </c>
      <c r="I523" s="0" t="n">
        <f aca="false">calc_cohort!$B$2*constant!$B$1*F523*H523</f>
        <v>0.722514745770153</v>
      </c>
      <c r="J523" s="0" t="n">
        <f aca="false">INDEX(table_spot_rate!B$1:B$2000,MATCH(A523,table_spot_rate!A$1:A$2000,0))</f>
        <v>0.0556950511113407</v>
      </c>
      <c r="K523" s="0" t="n">
        <f aca="false">(1+J523)^(-A523*constant!$B$1)</f>
        <v>0.0950686690060267</v>
      </c>
      <c r="L523" s="0" t="n">
        <f aca="false">K523*I523</f>
        <v>0.0686885152175962</v>
      </c>
    </row>
    <row r="524" customFormat="false" ht="12.8" hidden="false" customHeight="false" outlineLevel="0" collapsed="false">
      <c r="A524" s="0" t="n">
        <v>522</v>
      </c>
      <c r="B524" s="0" t="n">
        <f aca="false">calc_cohort!D$2+constant!$B$1*A524</f>
        <v>74.7</v>
      </c>
      <c r="C524" s="0" t="n">
        <f aca="false">_xlfn.FLOOR.MATH(B524)</f>
        <v>74</v>
      </c>
      <c r="D524" s="4" t="n">
        <f aca="false">INDEX(table_mortality_rate!$A$1:$C$2000,MATCH(C524,table_mortality_rate!$A$1:$A$2000,0),MATCH(calc_cohort!$E$2,table_mortality_rate!A$1:C$1,0))</f>
        <v>0.037911</v>
      </c>
      <c r="E524" s="0" t="n">
        <f aca="false">(1-D524)^constant!$B$1</f>
        <v>0.99678448778488</v>
      </c>
      <c r="F524" s="0" t="n">
        <f aca="false">IF(A524=0,1,F523*E524)</f>
        <v>0.700348289250753</v>
      </c>
      <c r="G524" s="5" t="b">
        <f aca="false">B524&gt;=calc_cohort!C$2</f>
        <v>1</v>
      </c>
      <c r="H524" s="0" t="n">
        <f aca="false">IF(G524,1,0)</f>
        <v>1</v>
      </c>
      <c r="I524" s="0" t="n">
        <f aca="false">calc_cohort!$B$2*constant!$B$1*F524*H524</f>
        <v>0.720191490779525</v>
      </c>
      <c r="J524" s="0" t="n">
        <f aca="false">INDEX(table_spot_rate!B$1:B$2000,MATCH(A524,table_spot_rate!A$1:A$2000,0))</f>
        <v>0.0545222756497541</v>
      </c>
      <c r="K524" s="0" t="n">
        <f aca="false">(1+J524)^(-A524*constant!$B$1)</f>
        <v>0.0993286468916324</v>
      </c>
      <c r="L524" s="0" t="n">
        <f aca="false">K524*I524</f>
        <v>0.0715356462819977</v>
      </c>
    </row>
    <row r="525" customFormat="false" ht="12.8" hidden="false" customHeight="false" outlineLevel="0" collapsed="false">
      <c r="A525" s="0" t="n">
        <v>523</v>
      </c>
      <c r="B525" s="0" t="n">
        <f aca="false">calc_cohort!D$2+constant!$B$1*A525</f>
        <v>74.7833333333333</v>
      </c>
      <c r="C525" s="0" t="n">
        <f aca="false">_xlfn.FLOOR.MATH(B525)</f>
        <v>74</v>
      </c>
      <c r="D525" s="4" t="n">
        <f aca="false">INDEX(table_mortality_rate!$A$1:$C$2000,MATCH(C525,table_mortality_rate!$A$1:$A$2000,0),MATCH(calc_cohort!$E$2,table_mortality_rate!A$1:C$1,0))</f>
        <v>0.037911</v>
      </c>
      <c r="E525" s="0" t="n">
        <f aca="false">(1-D525)^constant!$B$1</f>
        <v>0.99678448778488</v>
      </c>
      <c r="F525" s="0" t="n">
        <f aca="false">IF(A525=0,1,F524*E525)</f>
        <v>0.698096310771829</v>
      </c>
      <c r="G525" s="5" t="b">
        <f aca="false">B525&gt;=calc_cohort!C$2</f>
        <v>1</v>
      </c>
      <c r="H525" s="0" t="n">
        <f aca="false">IF(G525,1,0)</f>
        <v>1</v>
      </c>
      <c r="I525" s="0" t="n">
        <f aca="false">calc_cohort!$B$2*constant!$B$1*F525*H525</f>
        <v>0.717875706243697</v>
      </c>
      <c r="J525" s="0" t="n">
        <f aca="false">INDEX(table_spot_rate!B$1:B$2000,MATCH(A525,table_spot_rate!A$1:A$2000,0))</f>
        <v>0.052275687944541</v>
      </c>
      <c r="K525" s="0" t="n">
        <f aca="false">(1+J525)^(-A525*constant!$B$1)</f>
        <v>0.108522811364224</v>
      </c>
      <c r="L525" s="0" t="n">
        <f aca="false">K525*I525</f>
        <v>0.0779058898516441</v>
      </c>
    </row>
    <row r="526" customFormat="false" ht="12.8" hidden="false" customHeight="false" outlineLevel="0" collapsed="false">
      <c r="A526" s="0" t="n">
        <v>524</v>
      </c>
      <c r="B526" s="0" t="n">
        <f aca="false">calc_cohort!D$2+constant!$B$1*A526</f>
        <v>74.8666666666667</v>
      </c>
      <c r="C526" s="0" t="n">
        <f aca="false">_xlfn.FLOOR.MATH(B526)</f>
        <v>74</v>
      </c>
      <c r="D526" s="4" t="n">
        <f aca="false">INDEX(table_mortality_rate!$A$1:$C$2000,MATCH(C526,table_mortality_rate!$A$1:$A$2000,0),MATCH(calc_cohort!$E$2,table_mortality_rate!A$1:C$1,0))</f>
        <v>0.037911</v>
      </c>
      <c r="E526" s="0" t="n">
        <f aca="false">(1-D526)^constant!$B$1</f>
        <v>0.99678448778488</v>
      </c>
      <c r="F526" s="0" t="n">
        <f aca="false">IF(A526=0,1,F525*E526)</f>
        <v>0.695851573557212</v>
      </c>
      <c r="G526" s="5" t="b">
        <f aca="false">B526&gt;=calc_cohort!C$2</f>
        <v>1</v>
      </c>
      <c r="H526" s="0" t="n">
        <f aca="false">IF(G526,1,0)</f>
        <v>1</v>
      </c>
      <c r="I526" s="0" t="n">
        <f aca="false">calc_cohort!$B$2*constant!$B$1*F526*H526</f>
        <v>0.715567368141333</v>
      </c>
      <c r="J526" s="0" t="n">
        <f aca="false">INDEX(table_spot_rate!B$1:B$2000,MATCH(A526,table_spot_rate!A$1:A$2000,0))</f>
        <v>0.053434941212309</v>
      </c>
      <c r="K526" s="0" t="n">
        <f aca="false">(1+J526)^(-A526*constant!$B$1)</f>
        <v>0.102990284320426</v>
      </c>
      <c r="L526" s="0" t="n">
        <f aca="false">K526*I526</f>
        <v>0.0736964866952949</v>
      </c>
    </row>
    <row r="527" customFormat="false" ht="12.8" hidden="false" customHeight="false" outlineLevel="0" collapsed="false">
      <c r="A527" s="0" t="n">
        <v>525</v>
      </c>
      <c r="B527" s="0" t="n">
        <f aca="false">calc_cohort!D$2+constant!$B$1*A527</f>
        <v>74.95</v>
      </c>
      <c r="C527" s="0" t="n">
        <f aca="false">_xlfn.FLOOR.MATH(B527)</f>
        <v>74</v>
      </c>
      <c r="D527" s="4" t="n">
        <f aca="false">INDEX(table_mortality_rate!$A$1:$C$2000,MATCH(C527,table_mortality_rate!$A$1:$A$2000,0),MATCH(calc_cohort!$E$2,table_mortality_rate!A$1:C$1,0))</f>
        <v>0.037911</v>
      </c>
      <c r="E527" s="0" t="n">
        <f aca="false">(1-D527)^constant!$B$1</f>
        <v>0.99678448778488</v>
      </c>
      <c r="F527" s="0" t="n">
        <f aca="false">IF(A527=0,1,F526*E527)</f>
        <v>0.693614054322528</v>
      </c>
      <c r="G527" s="5" t="b">
        <f aca="false">B527&gt;=calc_cohort!C$2</f>
        <v>1</v>
      </c>
      <c r="H527" s="0" t="n">
        <f aca="false">IF(G527,1,0)</f>
        <v>1</v>
      </c>
      <c r="I527" s="0" t="n">
        <f aca="false">calc_cohort!$B$2*constant!$B$1*F527*H527</f>
        <v>0.713266452528333</v>
      </c>
      <c r="J527" s="0" t="n">
        <f aca="false">INDEX(table_spot_rate!B$1:B$2000,MATCH(A527,table_spot_rate!A$1:A$2000,0))</f>
        <v>0.0583325385321959</v>
      </c>
      <c r="K527" s="0" t="n">
        <f aca="false">(1+J527)^(-A527*constant!$B$1)</f>
        <v>0.083710703537472</v>
      </c>
      <c r="L527" s="0" t="n">
        <f aca="false">K527*I527</f>
        <v>0.0597080365508236</v>
      </c>
    </row>
    <row r="528" customFormat="false" ht="12.8" hidden="false" customHeight="false" outlineLevel="0" collapsed="false">
      <c r="A528" s="0" t="n">
        <v>526</v>
      </c>
      <c r="B528" s="0" t="n">
        <f aca="false">calc_cohort!D$2+constant!$B$1*A528</f>
        <v>75.0333333333333</v>
      </c>
      <c r="C528" s="0" t="n">
        <f aca="false">_xlfn.FLOOR.MATH(B528)</f>
        <v>75</v>
      </c>
      <c r="D528" s="4" t="n">
        <f aca="false">INDEX(table_mortality_rate!$A$1:$C$2000,MATCH(C528,table_mortality_rate!$A$1:$A$2000,0),MATCH(calc_cohort!$E$2,table_mortality_rate!A$1:C$1,0))</f>
        <v>0.042046</v>
      </c>
      <c r="E528" s="0" t="n">
        <f aca="false">(1-D528)^constant!$B$1</f>
        <v>0.996426772653177</v>
      </c>
      <c r="F528" s="0" t="n">
        <f aca="false">IF(A528=0,1,F527*E528)</f>
        <v>0.691135613615482</v>
      </c>
      <c r="G528" s="5" t="b">
        <f aca="false">B528&gt;=calc_cohort!C$2</f>
        <v>1</v>
      </c>
      <c r="H528" s="0" t="n">
        <f aca="false">IF(G528,1,0)</f>
        <v>1</v>
      </c>
      <c r="I528" s="0" t="n">
        <f aca="false">calc_cohort!$B$2*constant!$B$1*F528*H528</f>
        <v>0.710717789334587</v>
      </c>
      <c r="J528" s="0" t="n">
        <f aca="false">INDEX(table_spot_rate!B$1:B$2000,MATCH(A528,table_spot_rate!A$1:A$2000,0))</f>
        <v>0.0505457658605054</v>
      </c>
      <c r="K528" s="0" t="n">
        <f aca="false">(1+J528)^(-A528*constant!$B$1)</f>
        <v>0.115162262226055</v>
      </c>
      <c r="L528" s="0" t="n">
        <f aca="false">K528*I528</f>
        <v>0.0818478684240721</v>
      </c>
    </row>
    <row r="529" customFormat="false" ht="12.8" hidden="false" customHeight="false" outlineLevel="0" collapsed="false">
      <c r="A529" s="0" t="n">
        <v>527</v>
      </c>
      <c r="B529" s="0" t="n">
        <f aca="false">calc_cohort!D$2+constant!$B$1*A529</f>
        <v>75.1166666666667</v>
      </c>
      <c r="C529" s="0" t="n">
        <f aca="false">_xlfn.FLOOR.MATH(B529)</f>
        <v>75</v>
      </c>
      <c r="D529" s="4" t="n">
        <f aca="false">INDEX(table_mortality_rate!$A$1:$C$2000,MATCH(C529,table_mortality_rate!$A$1:$A$2000,0),MATCH(calc_cohort!$E$2,table_mortality_rate!A$1:C$1,0))</f>
        <v>0.042046</v>
      </c>
      <c r="E529" s="0" t="n">
        <f aca="false">(1-D529)^constant!$B$1</f>
        <v>0.996426772653177</v>
      </c>
      <c r="F529" s="0" t="n">
        <f aca="false">IF(A529=0,1,F528*E529)</f>
        <v>0.688666028940548</v>
      </c>
      <c r="G529" s="5" t="b">
        <f aca="false">B529&gt;=calc_cohort!C$2</f>
        <v>1</v>
      </c>
      <c r="H529" s="0" t="n">
        <f aca="false">IF(G529,1,0)</f>
        <v>1</v>
      </c>
      <c r="I529" s="0" t="n">
        <f aca="false">calc_cohort!$B$2*constant!$B$1*F529*H529</f>
        <v>0.708178233093863</v>
      </c>
      <c r="J529" s="0" t="n">
        <f aca="false">INDEX(table_spot_rate!B$1:B$2000,MATCH(A529,table_spot_rate!A$1:A$2000,0))</f>
        <v>0.0530375251660815</v>
      </c>
      <c r="K529" s="0" t="n">
        <f aca="false">(1+J529)^(-A529*constant!$B$1)</f>
        <v>0.103357269004088</v>
      </c>
      <c r="L529" s="0" t="n">
        <f aca="false">K529*I529</f>
        <v>0.0731953681407225</v>
      </c>
    </row>
    <row r="530" customFormat="false" ht="12.8" hidden="false" customHeight="false" outlineLevel="0" collapsed="false">
      <c r="A530" s="0" t="n">
        <v>528</v>
      </c>
      <c r="B530" s="0" t="n">
        <f aca="false">calc_cohort!D$2+constant!$B$1*A530</f>
        <v>75.2</v>
      </c>
      <c r="C530" s="0" t="n">
        <f aca="false">_xlfn.FLOOR.MATH(B530)</f>
        <v>75</v>
      </c>
      <c r="D530" s="4" t="n">
        <f aca="false">INDEX(table_mortality_rate!$A$1:$C$2000,MATCH(C530,table_mortality_rate!$A$1:$A$2000,0),MATCH(calc_cohort!$E$2,table_mortality_rate!A$1:C$1,0))</f>
        <v>0.042046</v>
      </c>
      <c r="E530" s="0" t="n">
        <f aca="false">(1-D530)^constant!$B$1</f>
        <v>0.996426772653177</v>
      </c>
      <c r="F530" s="0" t="n">
        <f aca="false">IF(A530=0,1,F529*E530)</f>
        <v>0.686205268653109</v>
      </c>
      <c r="G530" s="5" t="b">
        <f aca="false">B530&gt;=calc_cohort!C$2</f>
        <v>1</v>
      </c>
      <c r="H530" s="0" t="n">
        <f aca="false">IF(G530,1,0)</f>
        <v>1</v>
      </c>
      <c r="I530" s="0" t="n">
        <f aca="false">calc_cohort!$B$2*constant!$B$1*F530*H530</f>
        <v>0.705647751264947</v>
      </c>
      <c r="J530" s="0" t="n">
        <f aca="false">INDEX(table_spot_rate!B$1:B$2000,MATCH(A530,table_spot_rate!A$1:A$2000,0))</f>
        <v>0.0575496685442448</v>
      </c>
      <c r="K530" s="0" t="n">
        <f aca="false">(1+J530)^(-A530*constant!$B$1)</f>
        <v>0.0852640519674931</v>
      </c>
      <c r="L530" s="0" t="n">
        <f aca="false">K530*I530</f>
        <v>0.0601663865345991</v>
      </c>
    </row>
    <row r="531" customFormat="false" ht="12.8" hidden="false" customHeight="false" outlineLevel="0" collapsed="false">
      <c r="A531" s="0" t="n">
        <v>529</v>
      </c>
      <c r="B531" s="0" t="n">
        <f aca="false">calc_cohort!D$2+constant!$B$1*A531</f>
        <v>75.2833333333333</v>
      </c>
      <c r="C531" s="0" t="n">
        <f aca="false">_xlfn.FLOOR.MATH(B531)</f>
        <v>75</v>
      </c>
      <c r="D531" s="4" t="n">
        <f aca="false">INDEX(table_mortality_rate!$A$1:$C$2000,MATCH(C531,table_mortality_rate!$A$1:$A$2000,0),MATCH(calc_cohort!$E$2,table_mortality_rate!A$1:C$1,0))</f>
        <v>0.042046</v>
      </c>
      <c r="E531" s="0" t="n">
        <f aca="false">(1-D531)^constant!$B$1</f>
        <v>0.996426772653177</v>
      </c>
      <c r="F531" s="0" t="n">
        <f aca="false">IF(A531=0,1,F530*E531)</f>
        <v>0.683753301221624</v>
      </c>
      <c r="G531" s="5" t="b">
        <f aca="false">B531&gt;=calc_cohort!C$2</f>
        <v>1</v>
      </c>
      <c r="H531" s="0" t="n">
        <f aca="false">IF(G531,1,0)</f>
        <v>1</v>
      </c>
      <c r="I531" s="0" t="n">
        <f aca="false">calc_cohort!$B$2*constant!$B$1*F531*H531</f>
        <v>0.703126311422903</v>
      </c>
      <c r="J531" s="0" t="n">
        <f aca="false">INDEX(table_spot_rate!B$1:B$2000,MATCH(A531,table_spot_rate!A$1:A$2000,0))</f>
        <v>0.0579536832741594</v>
      </c>
      <c r="K531" s="0" t="n">
        <f aca="false">(1+J531)^(-A531*constant!$B$1)</f>
        <v>0.0834503757249765</v>
      </c>
      <c r="L531" s="0" t="n">
        <f aca="false">K531*I531</f>
        <v>0.0586761548703581</v>
      </c>
    </row>
    <row r="532" customFormat="false" ht="12.8" hidden="false" customHeight="false" outlineLevel="0" collapsed="false">
      <c r="A532" s="0" t="n">
        <v>530</v>
      </c>
      <c r="B532" s="0" t="n">
        <f aca="false">calc_cohort!D$2+constant!$B$1*A532</f>
        <v>75.3666666666667</v>
      </c>
      <c r="C532" s="0" t="n">
        <f aca="false">_xlfn.FLOOR.MATH(B532)</f>
        <v>75</v>
      </c>
      <c r="D532" s="4" t="n">
        <f aca="false">INDEX(table_mortality_rate!$A$1:$C$2000,MATCH(C532,table_mortality_rate!$A$1:$A$2000,0),MATCH(calc_cohort!$E$2,table_mortality_rate!A$1:C$1,0))</f>
        <v>0.042046</v>
      </c>
      <c r="E532" s="0" t="n">
        <f aca="false">(1-D532)^constant!$B$1</f>
        <v>0.996426772653177</v>
      </c>
      <c r="F532" s="0" t="n">
        <f aca="false">IF(A532=0,1,F531*E532)</f>
        <v>0.681310095227218</v>
      </c>
      <c r="G532" s="5" t="b">
        <f aca="false">B532&gt;=calc_cohort!C$2</f>
        <v>1</v>
      </c>
      <c r="H532" s="0" t="n">
        <f aca="false">IF(G532,1,0)</f>
        <v>1</v>
      </c>
      <c r="I532" s="0" t="n">
        <f aca="false">calc_cohort!$B$2*constant!$B$1*F532*H532</f>
        <v>0.700613881258656</v>
      </c>
      <c r="J532" s="0" t="n">
        <f aca="false">INDEX(table_spot_rate!B$1:B$2000,MATCH(A532,table_spot_rate!A$1:A$2000,0))</f>
        <v>0.0573849652377007</v>
      </c>
      <c r="K532" s="0" t="n">
        <f aca="false">(1+J532)^(-A532*constant!$B$1)</f>
        <v>0.0850556920654909</v>
      </c>
      <c r="L532" s="0" t="n">
        <f aca="false">K532*I532</f>
        <v>0.0595911985411446</v>
      </c>
    </row>
    <row r="533" customFormat="false" ht="12.8" hidden="false" customHeight="false" outlineLevel="0" collapsed="false">
      <c r="A533" s="0" t="n">
        <v>531</v>
      </c>
      <c r="B533" s="0" t="n">
        <f aca="false">calc_cohort!D$2+constant!$B$1*A533</f>
        <v>75.45</v>
      </c>
      <c r="C533" s="0" t="n">
        <f aca="false">_xlfn.FLOOR.MATH(B533)</f>
        <v>75</v>
      </c>
      <c r="D533" s="4" t="n">
        <f aca="false">INDEX(table_mortality_rate!$A$1:$C$2000,MATCH(C533,table_mortality_rate!$A$1:$A$2000,0),MATCH(calc_cohort!$E$2,table_mortality_rate!A$1:C$1,0))</f>
        <v>0.042046</v>
      </c>
      <c r="E533" s="0" t="n">
        <f aca="false">(1-D533)^constant!$B$1</f>
        <v>0.996426772653177</v>
      </c>
      <c r="F533" s="0" t="n">
        <f aca="false">IF(A533=0,1,F532*E533)</f>
        <v>0.678875619363286</v>
      </c>
      <c r="G533" s="5" t="b">
        <f aca="false">B533&gt;=calc_cohort!C$2</f>
        <v>1</v>
      </c>
      <c r="H533" s="0" t="n">
        <f aca="false">IF(G533,1,0)</f>
        <v>1</v>
      </c>
      <c r="I533" s="0" t="n">
        <f aca="false">calc_cohort!$B$2*constant!$B$1*F533*H533</f>
        <v>0.698110428578579</v>
      </c>
      <c r="J533" s="0" t="n">
        <f aca="false">INDEX(table_spot_rate!B$1:B$2000,MATCH(A533,table_spot_rate!A$1:A$2000,0))</f>
        <v>0.0597393039983854</v>
      </c>
      <c r="K533" s="0" t="n">
        <f aca="false">(1+J533)^(-A533*constant!$B$1)</f>
        <v>0.0767259714089849</v>
      </c>
      <c r="L533" s="0" t="n">
        <f aca="false">K533*I533</f>
        <v>0.0535632007834343</v>
      </c>
    </row>
    <row r="534" customFormat="false" ht="12.8" hidden="false" customHeight="false" outlineLevel="0" collapsed="false">
      <c r="A534" s="0" t="n">
        <v>532</v>
      </c>
      <c r="B534" s="0" t="n">
        <f aca="false">calc_cohort!D$2+constant!$B$1*A534</f>
        <v>75.5333333333333</v>
      </c>
      <c r="C534" s="0" t="n">
        <f aca="false">_xlfn.FLOOR.MATH(B534)</f>
        <v>75</v>
      </c>
      <c r="D534" s="4" t="n">
        <f aca="false">INDEX(table_mortality_rate!$A$1:$C$2000,MATCH(C534,table_mortality_rate!$A$1:$A$2000,0),MATCH(calc_cohort!$E$2,table_mortality_rate!A$1:C$1,0))</f>
        <v>0.042046</v>
      </c>
      <c r="E534" s="0" t="n">
        <f aca="false">(1-D534)^constant!$B$1</f>
        <v>0.996426772653177</v>
      </c>
      <c r="F534" s="0" t="n">
        <f aca="false">IF(A534=0,1,F533*E534)</f>
        <v>0.676449842435086</v>
      </c>
      <c r="G534" s="5" t="b">
        <f aca="false">B534&gt;=calc_cohort!C$2</f>
        <v>1</v>
      </c>
      <c r="H534" s="0" t="n">
        <f aca="false">IF(G534,1,0)</f>
        <v>1</v>
      </c>
      <c r="I534" s="0" t="n">
        <f aca="false">calc_cohort!$B$2*constant!$B$1*F534*H534</f>
        <v>0.69561592130408</v>
      </c>
      <c r="J534" s="0" t="n">
        <f aca="false">INDEX(table_spot_rate!B$1:B$2000,MATCH(A534,table_spot_rate!A$1:A$2000,0))</f>
        <v>0.053382944374046</v>
      </c>
      <c r="K534" s="0" t="n">
        <f aca="false">(1+J534)^(-A534*constant!$B$1)</f>
        <v>0.0996953307229052</v>
      </c>
      <c r="L534" s="0" t="n">
        <f aca="false">K534*I534</f>
        <v>0.0693496593305286</v>
      </c>
    </row>
    <row r="535" customFormat="false" ht="12.8" hidden="false" customHeight="false" outlineLevel="0" collapsed="false">
      <c r="A535" s="0" t="n">
        <v>533</v>
      </c>
      <c r="B535" s="0" t="n">
        <f aca="false">calc_cohort!D$2+constant!$B$1*A535</f>
        <v>75.6166666666667</v>
      </c>
      <c r="C535" s="0" t="n">
        <f aca="false">_xlfn.FLOOR.MATH(B535)</f>
        <v>75</v>
      </c>
      <c r="D535" s="4" t="n">
        <f aca="false">INDEX(table_mortality_rate!$A$1:$C$2000,MATCH(C535,table_mortality_rate!$A$1:$A$2000,0),MATCH(calc_cohort!$E$2,table_mortality_rate!A$1:C$1,0))</f>
        <v>0.042046</v>
      </c>
      <c r="E535" s="0" t="n">
        <f aca="false">(1-D535)^constant!$B$1</f>
        <v>0.996426772653177</v>
      </c>
      <c r="F535" s="0" t="n">
        <f aca="false">IF(A535=0,1,F534*E535)</f>
        <v>0.674032733359342</v>
      </c>
      <c r="G535" s="5" t="b">
        <f aca="false">B535&gt;=calc_cohort!C$2</f>
        <v>1</v>
      </c>
      <c r="H535" s="0" t="n">
        <f aca="false">IF(G535,1,0)</f>
        <v>1</v>
      </c>
      <c r="I535" s="0" t="n">
        <f aca="false">calc_cohort!$B$2*constant!$B$1*F535*H535</f>
        <v>0.693130327471191</v>
      </c>
      <c r="J535" s="0" t="n">
        <f aca="false">INDEX(table_spot_rate!B$1:B$2000,MATCH(A535,table_spot_rate!A$1:A$2000,0))</f>
        <v>0.0556355307258911</v>
      </c>
      <c r="K535" s="0" t="n">
        <f aca="false">(1+J535)^(-A535*constant!$B$1)</f>
        <v>0.090278956258619</v>
      </c>
      <c r="L535" s="0" t="n">
        <f aca="false">K535*I535</f>
        <v>0.0625750825152939</v>
      </c>
    </row>
    <row r="536" customFormat="false" ht="12.8" hidden="false" customHeight="false" outlineLevel="0" collapsed="false">
      <c r="A536" s="0" t="n">
        <v>534</v>
      </c>
      <c r="B536" s="0" t="n">
        <f aca="false">calc_cohort!D$2+constant!$B$1*A536</f>
        <v>75.7</v>
      </c>
      <c r="C536" s="0" t="n">
        <f aca="false">_xlfn.FLOOR.MATH(B536)</f>
        <v>75</v>
      </c>
      <c r="D536" s="4" t="n">
        <f aca="false">INDEX(table_mortality_rate!$A$1:$C$2000,MATCH(C536,table_mortality_rate!$A$1:$A$2000,0),MATCH(calc_cohort!$E$2,table_mortality_rate!A$1:C$1,0))</f>
        <v>0.042046</v>
      </c>
      <c r="E536" s="0" t="n">
        <f aca="false">(1-D536)^constant!$B$1</f>
        <v>0.996426772653177</v>
      </c>
      <c r="F536" s="0" t="n">
        <f aca="false">IF(A536=0,1,F535*E536)</f>
        <v>0.671624261163849</v>
      </c>
      <c r="G536" s="5" t="b">
        <f aca="false">B536&gt;=calc_cohort!C$2</f>
        <v>1</v>
      </c>
      <c r="H536" s="0" t="n">
        <f aca="false">IF(G536,1,0)</f>
        <v>1</v>
      </c>
      <c r="I536" s="0" t="n">
        <f aca="false">calc_cohort!$B$2*constant!$B$1*F536*H536</f>
        <v>0.690653615230158</v>
      </c>
      <c r="J536" s="0" t="n">
        <f aca="false">INDEX(table_spot_rate!B$1:B$2000,MATCH(A536,table_spot_rate!A$1:A$2000,0))</f>
        <v>0.0504323754418477</v>
      </c>
      <c r="K536" s="0" t="n">
        <f aca="false">(1+J536)^(-A536*constant!$B$1)</f>
        <v>0.111974622665713</v>
      </c>
      <c r="L536" s="0" t="n">
        <f aca="false">K536*I536</f>
        <v>0.0773356779581077</v>
      </c>
    </row>
    <row r="537" customFormat="false" ht="12.8" hidden="false" customHeight="false" outlineLevel="0" collapsed="false">
      <c r="A537" s="0" t="n">
        <v>535</v>
      </c>
      <c r="B537" s="0" t="n">
        <f aca="false">calc_cohort!D$2+constant!$B$1*A537</f>
        <v>75.7833333333333</v>
      </c>
      <c r="C537" s="0" t="n">
        <f aca="false">_xlfn.FLOOR.MATH(B537)</f>
        <v>75</v>
      </c>
      <c r="D537" s="4" t="n">
        <f aca="false">INDEX(table_mortality_rate!$A$1:$C$2000,MATCH(C537,table_mortality_rate!$A$1:$A$2000,0),MATCH(calc_cohort!$E$2,table_mortality_rate!A$1:C$1,0))</f>
        <v>0.042046</v>
      </c>
      <c r="E537" s="0" t="n">
        <f aca="false">(1-D537)^constant!$B$1</f>
        <v>0.996426772653177</v>
      </c>
      <c r="F537" s="0" t="n">
        <f aca="false">IF(A537=0,1,F536*E537)</f>
        <v>0.669224394987069</v>
      </c>
      <c r="G537" s="5" t="b">
        <f aca="false">B537&gt;=calc_cohort!C$2</f>
        <v>1</v>
      </c>
      <c r="H537" s="0" t="n">
        <f aca="false">IF(G537,1,0)</f>
        <v>1</v>
      </c>
      <c r="I537" s="0" t="n">
        <f aca="false">calc_cohort!$B$2*constant!$B$1*F537*H537</f>
        <v>0.688185752845036</v>
      </c>
      <c r="J537" s="0" t="n">
        <f aca="false">INDEX(table_spot_rate!B$1:B$2000,MATCH(A537,table_spot_rate!A$1:A$2000,0))</f>
        <v>0.0524208843407647</v>
      </c>
      <c r="K537" s="0" t="n">
        <f aca="false">(1+J537)^(-A537*constant!$B$1)</f>
        <v>0.102499090486128</v>
      </c>
      <c r="L537" s="0" t="n">
        <f aca="false">K537*I537</f>
        <v>0.0705384137521275</v>
      </c>
    </row>
    <row r="538" customFormat="false" ht="12.8" hidden="false" customHeight="false" outlineLevel="0" collapsed="false">
      <c r="A538" s="0" t="n">
        <v>536</v>
      </c>
      <c r="B538" s="0" t="n">
        <f aca="false">calc_cohort!D$2+constant!$B$1*A538</f>
        <v>75.8666666666667</v>
      </c>
      <c r="C538" s="0" t="n">
        <f aca="false">_xlfn.FLOOR.MATH(B538)</f>
        <v>75</v>
      </c>
      <c r="D538" s="4" t="n">
        <f aca="false">INDEX(table_mortality_rate!$A$1:$C$2000,MATCH(C538,table_mortality_rate!$A$1:$A$2000,0),MATCH(calc_cohort!$E$2,table_mortality_rate!A$1:C$1,0))</f>
        <v>0.042046</v>
      </c>
      <c r="E538" s="0" t="n">
        <f aca="false">(1-D538)^constant!$B$1</f>
        <v>0.996426772653177</v>
      </c>
      <c r="F538" s="0" t="n">
        <f aca="false">IF(A538=0,1,F537*E538)</f>
        <v>0.66683310407774</v>
      </c>
      <c r="G538" s="5" t="b">
        <f aca="false">B538&gt;=calc_cohort!C$2</f>
        <v>1</v>
      </c>
      <c r="H538" s="0" t="n">
        <f aca="false">IF(G538,1,0)</f>
        <v>1</v>
      </c>
      <c r="I538" s="0" t="n">
        <f aca="false">calc_cohort!$B$2*constant!$B$1*F538*H538</f>
        <v>0.685726708693276</v>
      </c>
      <c r="J538" s="0" t="n">
        <f aca="false">INDEX(table_spot_rate!B$1:B$2000,MATCH(A538,table_spot_rate!A$1:A$2000,0))</f>
        <v>0.0532989583759713</v>
      </c>
      <c r="K538" s="0" t="n">
        <f aca="false">(1+J538)^(-A538*constant!$B$1)</f>
        <v>0.0983315209126722</v>
      </c>
      <c r="L538" s="0" t="n">
        <f aca="false">K538*I538</f>
        <v>0.0674285501962507</v>
      </c>
    </row>
    <row r="539" customFormat="false" ht="12.8" hidden="false" customHeight="false" outlineLevel="0" collapsed="false">
      <c r="A539" s="0" t="n">
        <v>537</v>
      </c>
      <c r="B539" s="0" t="n">
        <f aca="false">calc_cohort!D$2+constant!$B$1*A539</f>
        <v>75.95</v>
      </c>
      <c r="C539" s="0" t="n">
        <f aca="false">_xlfn.FLOOR.MATH(B539)</f>
        <v>75</v>
      </c>
      <c r="D539" s="4" t="n">
        <f aca="false">INDEX(table_mortality_rate!$A$1:$C$2000,MATCH(C539,table_mortality_rate!$A$1:$A$2000,0),MATCH(calc_cohort!$E$2,table_mortality_rate!A$1:C$1,0))</f>
        <v>0.042046</v>
      </c>
      <c r="E539" s="0" t="n">
        <f aca="false">(1-D539)^constant!$B$1</f>
        <v>0.996426772653177</v>
      </c>
      <c r="F539" s="0" t="n">
        <f aca="false">IF(A539=0,1,F538*E539)</f>
        <v>0.664450357794482</v>
      </c>
      <c r="G539" s="5" t="b">
        <f aca="false">B539&gt;=calc_cohort!C$2</f>
        <v>1</v>
      </c>
      <c r="H539" s="0" t="n">
        <f aca="false">IF(G539,1,0)</f>
        <v>1</v>
      </c>
      <c r="I539" s="0" t="n">
        <f aca="false">calc_cohort!$B$2*constant!$B$1*F539*H539</f>
        <v>0.683276451265326</v>
      </c>
      <c r="J539" s="0" t="n">
        <f aca="false">INDEX(table_spot_rate!B$1:B$2000,MATCH(A539,table_spot_rate!A$1:A$2000,0))</f>
        <v>0.0562468468812749</v>
      </c>
      <c r="K539" s="0" t="n">
        <f aca="false">(1+J539)^(-A539*constant!$B$1)</f>
        <v>0.0863967108171709</v>
      </c>
      <c r="L539" s="0" t="n">
        <f aca="false">K539*I539</f>
        <v>0.0590328379681531</v>
      </c>
    </row>
    <row r="540" customFormat="false" ht="12.8" hidden="false" customHeight="false" outlineLevel="0" collapsed="false">
      <c r="A540" s="0" t="n">
        <v>538</v>
      </c>
      <c r="B540" s="0" t="n">
        <f aca="false">calc_cohort!D$2+constant!$B$1*A540</f>
        <v>76.0333333333333</v>
      </c>
      <c r="C540" s="0" t="n">
        <f aca="false">_xlfn.FLOOR.MATH(B540)</f>
        <v>76</v>
      </c>
      <c r="D540" s="4" t="n">
        <f aca="false">INDEX(table_mortality_rate!$A$1:$C$2000,MATCH(C540,table_mortality_rate!$A$1:$A$2000,0),MATCH(calc_cohort!$E$2,table_mortality_rate!A$1:C$1,0))</f>
        <v>0.046578</v>
      </c>
      <c r="E540" s="0" t="n">
        <f aca="false">(1-D540)^constant!$B$1</f>
        <v>0.996033083984447</v>
      </c>
      <c r="F540" s="0" t="n">
        <f aca="false">IF(A540=0,1,F539*E540)</f>
        <v>0.661814539028607</v>
      </c>
      <c r="G540" s="5" t="b">
        <f aca="false">B540&gt;=calc_cohort!C$2</f>
        <v>1</v>
      </c>
      <c r="H540" s="0" t="n">
        <f aca="false">IF(G540,1,0)</f>
        <v>1</v>
      </c>
      <c r="I540" s="0" t="n">
        <f aca="false">calc_cohort!$B$2*constant!$B$1*F540*H540</f>
        <v>0.680565950967751</v>
      </c>
      <c r="J540" s="0" t="n">
        <f aca="false">INDEX(table_spot_rate!B$1:B$2000,MATCH(A540,table_spot_rate!A$1:A$2000,0))</f>
        <v>0.0575582435205769</v>
      </c>
      <c r="K540" s="0" t="n">
        <f aca="false">(1+J540)^(-A540*constant!$B$1)</f>
        <v>0.081349979377686</v>
      </c>
      <c r="L540" s="0" t="n">
        <f aca="false">K540*I540</f>
        <v>0.0553640260763818</v>
      </c>
    </row>
    <row r="541" customFormat="false" ht="12.8" hidden="false" customHeight="false" outlineLevel="0" collapsed="false">
      <c r="A541" s="0" t="n">
        <v>539</v>
      </c>
      <c r="B541" s="0" t="n">
        <f aca="false">calc_cohort!D$2+constant!$B$1*A541</f>
        <v>76.1166666666667</v>
      </c>
      <c r="C541" s="0" t="n">
        <f aca="false">_xlfn.FLOOR.MATH(B541)</f>
        <v>76</v>
      </c>
      <c r="D541" s="4" t="n">
        <f aca="false">INDEX(table_mortality_rate!$A$1:$C$2000,MATCH(C541,table_mortality_rate!$A$1:$A$2000,0),MATCH(calc_cohort!$E$2,table_mortality_rate!A$1:C$1,0))</f>
        <v>0.046578</v>
      </c>
      <c r="E541" s="0" t="n">
        <f aca="false">(1-D541)^constant!$B$1</f>
        <v>0.996033083984447</v>
      </c>
      <c r="F541" s="0" t="n">
        <f aca="false">IF(A541=0,1,F540*E541)</f>
        <v>0.659189176334409</v>
      </c>
      <c r="G541" s="5" t="b">
        <f aca="false">B541&gt;=calc_cohort!C$2</f>
        <v>1</v>
      </c>
      <c r="H541" s="0" t="n">
        <f aca="false">IF(G541,1,0)</f>
        <v>1</v>
      </c>
      <c r="I541" s="0" t="n">
        <f aca="false">calc_cohort!$B$2*constant!$B$1*F541*H541</f>
        <v>0.677866202997217</v>
      </c>
      <c r="J541" s="0" t="n">
        <f aca="false">INDEX(table_spot_rate!B$1:B$2000,MATCH(A541,table_spot_rate!A$1:A$2000,0))</f>
        <v>0.0536604477069833</v>
      </c>
      <c r="K541" s="0" t="n">
        <f aca="false">(1+J541)^(-A541*constant!$B$1)</f>
        <v>0.0955787224916437</v>
      </c>
      <c r="L541" s="0" t="n">
        <f aca="false">K541*I541</f>
        <v>0.0647895857027352</v>
      </c>
    </row>
    <row r="542" customFormat="false" ht="12.8" hidden="false" customHeight="false" outlineLevel="0" collapsed="false">
      <c r="A542" s="0" t="n">
        <v>540</v>
      </c>
      <c r="B542" s="0" t="n">
        <f aca="false">calc_cohort!D$2+constant!$B$1*A542</f>
        <v>76.2</v>
      </c>
      <c r="C542" s="0" t="n">
        <f aca="false">_xlfn.FLOOR.MATH(B542)</f>
        <v>76</v>
      </c>
      <c r="D542" s="4" t="n">
        <f aca="false">INDEX(table_mortality_rate!$A$1:$C$2000,MATCH(C542,table_mortality_rate!$A$1:$A$2000,0),MATCH(calc_cohort!$E$2,table_mortality_rate!A$1:C$1,0))</f>
        <v>0.046578</v>
      </c>
      <c r="E542" s="0" t="n">
        <f aca="false">(1-D542)^constant!$B$1</f>
        <v>0.996033083984447</v>
      </c>
      <c r="F542" s="0" t="n">
        <f aca="false">IF(A542=0,1,F541*E542)</f>
        <v>0.656574228233528</v>
      </c>
      <c r="G542" s="5" t="b">
        <f aca="false">B542&gt;=calc_cohort!C$2</f>
        <v>1</v>
      </c>
      <c r="H542" s="0" t="n">
        <f aca="false">IF(G542,1,0)</f>
        <v>1</v>
      </c>
      <c r="I542" s="0" t="n">
        <f aca="false">calc_cohort!$B$2*constant!$B$1*F542*H542</f>
        <v>0.675177164700145</v>
      </c>
      <c r="J542" s="0" t="n">
        <f aca="false">INDEX(table_spot_rate!B$1:B$2000,MATCH(A542,table_spot_rate!A$1:A$2000,0))</f>
        <v>0.0517625060468852</v>
      </c>
      <c r="K542" s="0" t="n">
        <f aca="false">(1+J542)^(-A542*constant!$B$1)</f>
        <v>0.10320581966353</v>
      </c>
      <c r="L542" s="0" t="n">
        <f aca="false">K542*I542</f>
        <v>0.0696822127009766</v>
      </c>
    </row>
    <row r="543" customFormat="false" ht="12.8" hidden="false" customHeight="false" outlineLevel="0" collapsed="false">
      <c r="A543" s="0" t="n">
        <v>541</v>
      </c>
      <c r="B543" s="0" t="n">
        <f aca="false">calc_cohort!D$2+constant!$B$1*A543</f>
        <v>76.2833333333333</v>
      </c>
      <c r="C543" s="0" t="n">
        <f aca="false">_xlfn.FLOOR.MATH(B543)</f>
        <v>76</v>
      </c>
      <c r="D543" s="4" t="n">
        <f aca="false">INDEX(table_mortality_rate!$A$1:$C$2000,MATCH(C543,table_mortality_rate!$A$1:$A$2000,0),MATCH(calc_cohort!$E$2,table_mortality_rate!A$1:C$1,0))</f>
        <v>0.046578</v>
      </c>
      <c r="E543" s="0" t="n">
        <f aca="false">(1-D543)^constant!$B$1</f>
        <v>0.996033083984447</v>
      </c>
      <c r="F543" s="0" t="n">
        <f aca="false">IF(A543=0,1,F542*E543)</f>
        <v>0.653969653412149</v>
      </c>
      <c r="G543" s="5" t="b">
        <f aca="false">B543&gt;=calc_cohort!C$2</f>
        <v>1</v>
      </c>
      <c r="H543" s="0" t="n">
        <f aca="false">IF(G543,1,0)</f>
        <v>1</v>
      </c>
      <c r="I543" s="0" t="n">
        <f aca="false">calc_cohort!$B$2*constant!$B$1*F543*H543</f>
        <v>0.67249879359216</v>
      </c>
      <c r="J543" s="0" t="n">
        <f aca="false">INDEX(table_spot_rate!B$1:B$2000,MATCH(A543,table_spot_rate!A$1:A$2000,0))</f>
        <v>0.0510879512091428</v>
      </c>
      <c r="K543" s="0" t="n">
        <f aca="false">(1+J543)^(-A543*constant!$B$1)</f>
        <v>0.1057886676386</v>
      </c>
      <c r="L543" s="0" t="n">
        <f aca="false">K543*I543</f>
        <v>0.0711427513626805</v>
      </c>
    </row>
    <row r="544" customFormat="false" ht="12.8" hidden="false" customHeight="false" outlineLevel="0" collapsed="false">
      <c r="A544" s="0" t="n">
        <v>542</v>
      </c>
      <c r="B544" s="0" t="n">
        <f aca="false">calc_cohort!D$2+constant!$B$1*A544</f>
        <v>76.3666666666667</v>
      </c>
      <c r="C544" s="0" t="n">
        <f aca="false">_xlfn.FLOOR.MATH(B544)</f>
        <v>76</v>
      </c>
      <c r="D544" s="4" t="n">
        <f aca="false">INDEX(table_mortality_rate!$A$1:$C$2000,MATCH(C544,table_mortality_rate!$A$1:$A$2000,0),MATCH(calc_cohort!$E$2,table_mortality_rate!A$1:C$1,0))</f>
        <v>0.046578</v>
      </c>
      <c r="E544" s="0" t="n">
        <f aca="false">(1-D544)^constant!$B$1</f>
        <v>0.996033083984447</v>
      </c>
      <c r="F544" s="0" t="n">
        <f aca="false">IF(A544=0,1,F543*E544)</f>
        <v>0.651375410720343</v>
      </c>
      <c r="G544" s="5" t="b">
        <f aca="false">B544&gt;=calc_cohort!C$2</f>
        <v>1</v>
      </c>
      <c r="H544" s="0" t="n">
        <f aca="false">IF(G544,1,0)</f>
        <v>1</v>
      </c>
      <c r="I544" s="0" t="n">
        <f aca="false">calc_cohort!$B$2*constant!$B$1*F544*H544</f>
        <v>0.669831047357419</v>
      </c>
      <c r="J544" s="0" t="n">
        <f aca="false">INDEX(table_spot_rate!B$1:B$2000,MATCH(A544,table_spot_rate!A$1:A$2000,0))</f>
        <v>0.0584322851525669</v>
      </c>
      <c r="K544" s="0" t="n">
        <f aca="false">(1+J544)^(-A544*constant!$B$1)</f>
        <v>0.0769220678779135</v>
      </c>
      <c r="L544" s="0" t="n">
        <f aca="false">K544*I544</f>
        <v>0.0515247892915613</v>
      </c>
    </row>
    <row r="545" customFormat="false" ht="12.8" hidden="false" customHeight="false" outlineLevel="0" collapsed="false">
      <c r="A545" s="0" t="n">
        <v>543</v>
      </c>
      <c r="B545" s="0" t="n">
        <f aca="false">calc_cohort!D$2+constant!$B$1*A545</f>
        <v>76.45</v>
      </c>
      <c r="C545" s="0" t="n">
        <f aca="false">_xlfn.FLOOR.MATH(B545)</f>
        <v>76</v>
      </c>
      <c r="D545" s="4" t="n">
        <f aca="false">INDEX(table_mortality_rate!$A$1:$C$2000,MATCH(C545,table_mortality_rate!$A$1:$A$2000,0),MATCH(calc_cohort!$E$2,table_mortality_rate!A$1:C$1,0))</f>
        <v>0.046578</v>
      </c>
      <c r="E545" s="0" t="n">
        <f aca="false">(1-D545)^constant!$B$1</f>
        <v>0.996033083984447</v>
      </c>
      <c r="F545" s="0" t="n">
        <f aca="false">IF(A545=0,1,F544*E545)</f>
        <v>0.648791459171419</v>
      </c>
      <c r="G545" s="5" t="b">
        <f aca="false">B545&gt;=calc_cohort!C$2</f>
        <v>1</v>
      </c>
      <c r="H545" s="0" t="n">
        <f aca="false">IF(G545,1,0)</f>
        <v>1</v>
      </c>
      <c r="I545" s="0" t="n">
        <f aca="false">calc_cohort!$B$2*constant!$B$1*F545*H545</f>
        <v>0.667173883847942</v>
      </c>
      <c r="J545" s="0" t="n">
        <f aca="false">INDEX(table_spot_rate!B$1:B$2000,MATCH(A545,table_spot_rate!A$1:A$2000,0))</f>
        <v>0.050590091878082</v>
      </c>
      <c r="K545" s="0" t="n">
        <f aca="false">(1+J545)^(-A545*constant!$B$1)</f>
        <v>0.107187254119526</v>
      </c>
      <c r="L545" s="0" t="n">
        <f aca="false">K545*I545</f>
        <v>0.0715125366299203</v>
      </c>
    </row>
    <row r="546" customFormat="false" ht="12.8" hidden="false" customHeight="false" outlineLevel="0" collapsed="false">
      <c r="A546" s="0" t="n">
        <v>544</v>
      </c>
      <c r="B546" s="0" t="n">
        <f aca="false">calc_cohort!D$2+constant!$B$1*A546</f>
        <v>76.5333333333333</v>
      </c>
      <c r="C546" s="0" t="n">
        <f aca="false">_xlfn.FLOOR.MATH(B546)</f>
        <v>76</v>
      </c>
      <c r="D546" s="4" t="n">
        <f aca="false">INDEX(table_mortality_rate!$A$1:$C$2000,MATCH(C546,table_mortality_rate!$A$1:$A$2000,0),MATCH(calc_cohort!$E$2,table_mortality_rate!A$1:C$1,0))</f>
        <v>0.046578</v>
      </c>
      <c r="E546" s="0" t="n">
        <f aca="false">(1-D546)^constant!$B$1</f>
        <v>0.996033083984447</v>
      </c>
      <c r="F546" s="0" t="n">
        <f aca="false">IF(A546=0,1,F545*E546)</f>
        <v>0.646217757941278</v>
      </c>
      <c r="G546" s="5" t="b">
        <f aca="false">B546&gt;=calc_cohort!C$2</f>
        <v>1</v>
      </c>
      <c r="H546" s="0" t="n">
        <f aca="false">IF(G546,1,0)</f>
        <v>1</v>
      </c>
      <c r="I546" s="0" t="n">
        <f aca="false">calc_cohort!$B$2*constant!$B$1*F546*H546</f>
        <v>0.664527261082947</v>
      </c>
      <c r="J546" s="0" t="n">
        <f aca="false">INDEX(table_spot_rate!B$1:B$2000,MATCH(A546,table_spot_rate!A$1:A$2000,0))</f>
        <v>0.0534181539922561</v>
      </c>
      <c r="K546" s="0" t="n">
        <f aca="false">(1+J546)^(-A546*constant!$B$1)</f>
        <v>0.0944997086781781</v>
      </c>
      <c r="L546" s="0" t="n">
        <f aca="false">K546*I546</f>
        <v>0.0627976325810461</v>
      </c>
    </row>
    <row r="547" customFormat="false" ht="12.8" hidden="false" customHeight="false" outlineLevel="0" collapsed="false">
      <c r="A547" s="0" t="n">
        <v>545</v>
      </c>
      <c r="B547" s="0" t="n">
        <f aca="false">calc_cohort!D$2+constant!$B$1*A547</f>
        <v>76.6166666666667</v>
      </c>
      <c r="C547" s="0" t="n">
        <f aca="false">_xlfn.FLOOR.MATH(B547)</f>
        <v>76</v>
      </c>
      <c r="D547" s="4" t="n">
        <f aca="false">INDEX(table_mortality_rate!$A$1:$C$2000,MATCH(C547,table_mortality_rate!$A$1:$A$2000,0),MATCH(calc_cohort!$E$2,table_mortality_rate!A$1:C$1,0))</f>
        <v>0.046578</v>
      </c>
      <c r="E547" s="0" t="n">
        <f aca="false">(1-D547)^constant!$B$1</f>
        <v>0.996033083984447</v>
      </c>
      <c r="F547" s="0" t="n">
        <f aca="false">IF(A547=0,1,F546*E547)</f>
        <v>0.643654266367766</v>
      </c>
      <c r="G547" s="5" t="b">
        <f aca="false">B547&gt;=calc_cohort!C$2</f>
        <v>1</v>
      </c>
      <c r="H547" s="0" t="n">
        <f aca="false">IF(G547,1,0)</f>
        <v>1</v>
      </c>
      <c r="I547" s="0" t="n">
        <f aca="false">calc_cohort!$B$2*constant!$B$1*F547*H547</f>
        <v>0.661891137248186</v>
      </c>
      <c r="J547" s="0" t="n">
        <f aca="false">INDEX(table_spot_rate!B$1:B$2000,MATCH(A547,table_spot_rate!A$1:A$2000,0))</f>
        <v>0.0566053643033591</v>
      </c>
      <c r="K547" s="0" t="n">
        <f aca="false">(1+J547)^(-A547*constant!$B$1)</f>
        <v>0.0820275656401387</v>
      </c>
      <c r="L547" s="0" t="n">
        <f aca="false">K547*I547</f>
        <v>0.0542933187072516</v>
      </c>
    </row>
    <row r="548" customFormat="false" ht="12.8" hidden="false" customHeight="false" outlineLevel="0" collapsed="false">
      <c r="A548" s="0" t="n">
        <v>546</v>
      </c>
      <c r="B548" s="0" t="n">
        <f aca="false">calc_cohort!D$2+constant!$B$1*A548</f>
        <v>76.7</v>
      </c>
      <c r="C548" s="0" t="n">
        <f aca="false">_xlfn.FLOOR.MATH(B548)</f>
        <v>76</v>
      </c>
      <c r="D548" s="4" t="n">
        <f aca="false">INDEX(table_mortality_rate!$A$1:$C$2000,MATCH(C548,table_mortality_rate!$A$1:$A$2000,0),MATCH(calc_cohort!$E$2,table_mortality_rate!A$1:C$1,0))</f>
        <v>0.046578</v>
      </c>
      <c r="E548" s="0" t="n">
        <f aca="false">(1-D548)^constant!$B$1</f>
        <v>0.996033083984447</v>
      </c>
      <c r="F548" s="0" t="n">
        <f aca="false">IF(A548=0,1,F547*E548)</f>
        <v>0.641100943950032</v>
      </c>
      <c r="G548" s="5" t="b">
        <f aca="false">B548&gt;=calc_cohort!C$2</f>
        <v>1</v>
      </c>
      <c r="H548" s="0" t="n">
        <f aca="false">IF(G548,1,0)</f>
        <v>1</v>
      </c>
      <c r="I548" s="0" t="n">
        <f aca="false">calc_cohort!$B$2*constant!$B$1*F548*H548</f>
        <v>0.659265470695283</v>
      </c>
      <c r="J548" s="0" t="n">
        <f aca="false">INDEX(table_spot_rate!B$1:B$2000,MATCH(A548,table_spot_rate!A$1:A$2000,0))</f>
        <v>0.0576885614699502</v>
      </c>
      <c r="K548" s="0" t="n">
        <f aca="false">(1+J548)^(-A548*constant!$B$1)</f>
        <v>0.077932705345144</v>
      </c>
      <c r="L548" s="0" t="n">
        <f aca="false">K548*I548</f>
        <v>0.0513783416719232</v>
      </c>
    </row>
    <row r="549" customFormat="false" ht="12.8" hidden="false" customHeight="false" outlineLevel="0" collapsed="false">
      <c r="A549" s="0" t="n">
        <v>547</v>
      </c>
      <c r="B549" s="0" t="n">
        <f aca="false">calc_cohort!D$2+constant!$B$1*A549</f>
        <v>76.7833333333333</v>
      </c>
      <c r="C549" s="0" t="n">
        <f aca="false">_xlfn.FLOOR.MATH(B549)</f>
        <v>76</v>
      </c>
      <c r="D549" s="4" t="n">
        <f aca="false">INDEX(table_mortality_rate!$A$1:$C$2000,MATCH(C549,table_mortality_rate!$A$1:$A$2000,0),MATCH(calc_cohort!$E$2,table_mortality_rate!A$1:C$1,0))</f>
        <v>0.046578</v>
      </c>
      <c r="E549" s="0" t="n">
        <f aca="false">(1-D549)^constant!$B$1</f>
        <v>0.996033083984447</v>
      </c>
      <c r="F549" s="0" t="n">
        <f aca="false">IF(A549=0,1,F548*E549)</f>
        <v>0.63855775034789</v>
      </c>
      <c r="G549" s="5" t="b">
        <f aca="false">B549&gt;=calc_cohort!C$2</f>
        <v>1</v>
      </c>
      <c r="H549" s="0" t="n">
        <f aca="false">IF(G549,1,0)</f>
        <v>1</v>
      </c>
      <c r="I549" s="0" t="n">
        <f aca="false">calc_cohort!$B$2*constant!$B$1*F549*H549</f>
        <v>0.656650219941081</v>
      </c>
      <c r="J549" s="0" t="n">
        <f aca="false">INDEX(table_spot_rate!B$1:B$2000,MATCH(A549,table_spot_rate!A$1:A$2000,0))</f>
        <v>0.0542030025254287</v>
      </c>
      <c r="K549" s="0" t="n">
        <f aca="false">(1+J549)^(-A549*constant!$B$1)</f>
        <v>0.0901646549089265</v>
      </c>
      <c r="L549" s="0" t="n">
        <f aca="false">K549*I549</f>
        <v>0.0592066404768582</v>
      </c>
    </row>
    <row r="550" customFormat="false" ht="12.8" hidden="false" customHeight="false" outlineLevel="0" collapsed="false">
      <c r="A550" s="0" t="n">
        <v>548</v>
      </c>
      <c r="B550" s="0" t="n">
        <f aca="false">calc_cohort!D$2+constant!$B$1*A550</f>
        <v>76.8666666666667</v>
      </c>
      <c r="C550" s="0" t="n">
        <f aca="false">_xlfn.FLOOR.MATH(B550)</f>
        <v>76</v>
      </c>
      <c r="D550" s="4" t="n">
        <f aca="false">INDEX(table_mortality_rate!$A$1:$C$2000,MATCH(C550,table_mortality_rate!$A$1:$A$2000,0),MATCH(calc_cohort!$E$2,table_mortality_rate!A$1:C$1,0))</f>
        <v>0.046578</v>
      </c>
      <c r="E550" s="0" t="n">
        <f aca="false">(1-D550)^constant!$B$1</f>
        <v>0.996033083984447</v>
      </c>
      <c r="F550" s="0" t="n">
        <f aca="false">IF(A550=0,1,F549*E550)</f>
        <v>0.63602464538118</v>
      </c>
      <c r="G550" s="5" t="b">
        <f aca="false">B550&gt;=calc_cohort!C$2</f>
        <v>1</v>
      </c>
      <c r="H550" s="0" t="n">
        <f aca="false">IF(G550,1,0)</f>
        <v>1</v>
      </c>
      <c r="I550" s="0" t="n">
        <f aca="false">calc_cohort!$B$2*constant!$B$1*F550*H550</f>
        <v>0.65404534366698</v>
      </c>
      <c r="J550" s="0" t="n">
        <f aca="false">INDEX(table_spot_rate!B$1:B$2000,MATCH(A550,table_spot_rate!A$1:A$2000,0))</f>
        <v>0.0505758748339748</v>
      </c>
      <c r="K550" s="0" t="n">
        <f aca="false">(1+J550)^(-A550*constant!$B$1)</f>
        <v>0.105070546518207</v>
      </c>
      <c r="L550" s="0" t="n">
        <f aca="false">K550*I550</f>
        <v>0.0687209017067779</v>
      </c>
    </row>
    <row r="551" customFormat="false" ht="12.8" hidden="false" customHeight="false" outlineLevel="0" collapsed="false">
      <c r="A551" s="0" t="n">
        <v>549</v>
      </c>
      <c r="B551" s="0" t="n">
        <f aca="false">calc_cohort!D$2+constant!$B$1*A551</f>
        <v>76.95</v>
      </c>
      <c r="C551" s="0" t="n">
        <f aca="false">_xlfn.FLOOR.MATH(B551)</f>
        <v>76</v>
      </c>
      <c r="D551" s="4" t="n">
        <f aca="false">INDEX(table_mortality_rate!$A$1:$C$2000,MATCH(C551,table_mortality_rate!$A$1:$A$2000,0),MATCH(calc_cohort!$E$2,table_mortality_rate!A$1:C$1,0))</f>
        <v>0.046578</v>
      </c>
      <c r="E551" s="0" t="n">
        <f aca="false">(1-D551)^constant!$B$1</f>
        <v>0.996033083984447</v>
      </c>
      <c r="F551" s="0" t="n">
        <f aca="false">IF(A551=0,1,F550*E551)</f>
        <v>0.633501589029131</v>
      </c>
      <c r="G551" s="5" t="b">
        <f aca="false">B551&gt;=calc_cohort!C$2</f>
        <v>1</v>
      </c>
      <c r="H551" s="0" t="n">
        <f aca="false">IF(G551,1,0)</f>
        <v>1</v>
      </c>
      <c r="I551" s="0" t="n">
        <f aca="false">calc_cohort!$B$2*constant!$B$1*F551*H551</f>
        <v>0.651450800718289</v>
      </c>
      <c r="J551" s="0" t="n">
        <f aca="false">INDEX(table_spot_rate!B$1:B$2000,MATCH(A551,table_spot_rate!A$1:A$2000,0))</f>
        <v>0.050413299062716</v>
      </c>
      <c r="K551" s="0" t="n">
        <f aca="false">(1+J551)^(-A551*constant!$B$1)</f>
        <v>0.105382941836925</v>
      </c>
      <c r="L551" s="0" t="n">
        <f aca="false">K551*I551</f>
        <v>0.0686518018417134</v>
      </c>
    </row>
    <row r="552" customFormat="false" ht="12.8" hidden="false" customHeight="false" outlineLevel="0" collapsed="false">
      <c r="A552" s="0" t="n">
        <v>550</v>
      </c>
      <c r="B552" s="0" t="n">
        <f aca="false">calc_cohort!D$2+constant!$B$1*A552</f>
        <v>77.0333333333333</v>
      </c>
      <c r="C552" s="0" t="n">
        <f aca="false">_xlfn.FLOOR.MATH(B552)</f>
        <v>77</v>
      </c>
      <c r="D552" s="4" t="n">
        <f aca="false">INDEX(table_mortality_rate!$A$1:$C$2000,MATCH(C552,table_mortality_rate!$A$1:$A$2000,0),MATCH(calc_cohort!$E$2,table_mortality_rate!A$1:C$1,0))</f>
        <v>0.051538</v>
      </c>
      <c r="E552" s="0" t="n">
        <f aca="false">(1-D552)^constant!$B$1</f>
        <v>0.995600244602108</v>
      </c>
      <c r="F552" s="0" t="n">
        <f aca="false">IF(A552=0,1,F551*E552)</f>
        <v>0.630714336993227</v>
      </c>
      <c r="G552" s="5" t="b">
        <f aca="false">B552&gt;=calc_cohort!C$2</f>
        <v>1</v>
      </c>
      <c r="H552" s="0" t="n">
        <f aca="false">IF(G552,1,0)</f>
        <v>1</v>
      </c>
      <c r="I552" s="0" t="n">
        <f aca="false">calc_cohort!$B$2*constant!$B$1*F552*H552</f>
        <v>0.648584576541368</v>
      </c>
      <c r="J552" s="0" t="n">
        <f aca="false">INDEX(table_spot_rate!B$1:B$2000,MATCH(A552,table_spot_rate!A$1:A$2000,0))</f>
        <v>0.0536572958835861</v>
      </c>
      <c r="K552" s="0" t="n">
        <f aca="false">(1+J552)^(-A552*constant!$B$1)</f>
        <v>0.0911196009953128</v>
      </c>
      <c r="L552" s="0" t="n">
        <f aca="false">K552*I552</f>
        <v>0.0590987678261633</v>
      </c>
    </row>
    <row r="553" customFormat="false" ht="12.8" hidden="false" customHeight="false" outlineLevel="0" collapsed="false">
      <c r="A553" s="0" t="n">
        <v>551</v>
      </c>
      <c r="B553" s="0" t="n">
        <f aca="false">calc_cohort!D$2+constant!$B$1*A553</f>
        <v>77.1166666666667</v>
      </c>
      <c r="C553" s="0" t="n">
        <f aca="false">_xlfn.FLOOR.MATH(B553)</f>
        <v>77</v>
      </c>
      <c r="D553" s="4" t="n">
        <f aca="false">INDEX(table_mortality_rate!$A$1:$C$2000,MATCH(C553,table_mortality_rate!$A$1:$A$2000,0),MATCH(calc_cohort!$E$2,table_mortality_rate!A$1:C$1,0))</f>
        <v>0.051538</v>
      </c>
      <c r="E553" s="0" t="n">
        <f aca="false">(1-D553)^constant!$B$1</f>
        <v>0.995600244602108</v>
      </c>
      <c r="F553" s="0" t="n">
        <f aca="false">IF(A553=0,1,F552*E553)</f>
        <v>0.627939348184513</v>
      </c>
      <c r="G553" s="5" t="b">
        <f aca="false">B553&gt;=calc_cohort!C$2</f>
        <v>1</v>
      </c>
      <c r="H553" s="0" t="n">
        <f aca="false">IF(G553,1,0)</f>
        <v>1</v>
      </c>
      <c r="I553" s="0" t="n">
        <f aca="false">calc_cohort!$B$2*constant!$B$1*F553*H553</f>
        <v>0.645730963049741</v>
      </c>
      <c r="J553" s="0" t="n">
        <f aca="false">INDEX(table_spot_rate!B$1:B$2000,MATCH(A553,table_spot_rate!A$1:A$2000,0))</f>
        <v>0.0560414243105223</v>
      </c>
      <c r="K553" s="0" t="n">
        <f aca="false">(1+J553)^(-A553*constant!$B$1)</f>
        <v>0.0817804546412062</v>
      </c>
      <c r="L553" s="0" t="n">
        <f aca="false">K553*I553</f>
        <v>0.0528081717341117</v>
      </c>
    </row>
    <row r="554" customFormat="false" ht="12.8" hidden="false" customHeight="false" outlineLevel="0" collapsed="false">
      <c r="A554" s="0" t="n">
        <v>552</v>
      </c>
      <c r="B554" s="0" t="n">
        <f aca="false">calc_cohort!D$2+constant!$B$1*A554</f>
        <v>77.2</v>
      </c>
      <c r="C554" s="0" t="n">
        <f aca="false">_xlfn.FLOOR.MATH(B554)</f>
        <v>77</v>
      </c>
      <c r="D554" s="4" t="n">
        <f aca="false">INDEX(table_mortality_rate!$A$1:$C$2000,MATCH(C554,table_mortality_rate!$A$1:$A$2000,0),MATCH(calc_cohort!$E$2,table_mortality_rate!A$1:C$1,0))</f>
        <v>0.051538</v>
      </c>
      <c r="E554" s="0" t="n">
        <f aca="false">(1-D554)^constant!$B$1</f>
        <v>0.995600244602108</v>
      </c>
      <c r="F554" s="0" t="n">
        <f aca="false">IF(A554=0,1,F553*E554)</f>
        <v>0.625176568647789</v>
      </c>
      <c r="G554" s="5" t="b">
        <f aca="false">B554&gt;=calc_cohort!C$2</f>
        <v>1</v>
      </c>
      <c r="H554" s="0" t="n">
        <f aca="false">IF(G554,1,0)</f>
        <v>1</v>
      </c>
      <c r="I554" s="0" t="n">
        <f aca="false">calc_cohort!$B$2*constant!$B$1*F554*H554</f>
        <v>0.642889904759477</v>
      </c>
      <c r="J554" s="0" t="n">
        <f aca="false">INDEX(table_spot_rate!B$1:B$2000,MATCH(A554,table_spot_rate!A$1:A$2000,0))</f>
        <v>0.0502671399781351</v>
      </c>
      <c r="K554" s="0" t="n">
        <f aca="false">(1+J554)^(-A554*constant!$B$1)</f>
        <v>0.104763553606594</v>
      </c>
      <c r="L554" s="0" t="n">
        <f aca="false">K554*I554</f>
        <v>0.0673514310004074</v>
      </c>
    </row>
    <row r="555" customFormat="false" ht="12.8" hidden="false" customHeight="false" outlineLevel="0" collapsed="false">
      <c r="A555" s="0" t="n">
        <v>553</v>
      </c>
      <c r="B555" s="0" t="n">
        <f aca="false">calc_cohort!D$2+constant!$B$1*A555</f>
        <v>77.2833333333333</v>
      </c>
      <c r="C555" s="0" t="n">
        <f aca="false">_xlfn.FLOOR.MATH(B555)</f>
        <v>77</v>
      </c>
      <c r="D555" s="4" t="n">
        <f aca="false">INDEX(table_mortality_rate!$A$1:$C$2000,MATCH(C555,table_mortality_rate!$A$1:$A$2000,0),MATCH(calc_cohort!$E$2,table_mortality_rate!A$1:C$1,0))</f>
        <v>0.051538</v>
      </c>
      <c r="E555" s="0" t="n">
        <f aca="false">(1-D555)^constant!$B$1</f>
        <v>0.995600244602108</v>
      </c>
      <c r="F555" s="0" t="n">
        <f aca="false">IF(A555=0,1,F554*E555)</f>
        <v>0.622425944665246</v>
      </c>
      <c r="G555" s="5" t="b">
        <f aca="false">B555&gt;=calc_cohort!C$2</f>
        <v>1</v>
      </c>
      <c r="H555" s="0" t="n">
        <f aca="false">IF(G555,1,0)</f>
        <v>1</v>
      </c>
      <c r="I555" s="0" t="n">
        <f aca="false">calc_cohort!$B$2*constant!$B$1*F555*H555</f>
        <v>0.640061346430761</v>
      </c>
      <c r="J555" s="0" t="n">
        <f aca="false">INDEX(table_spot_rate!B$1:B$2000,MATCH(A555,table_spot_rate!A$1:A$2000,0))</f>
        <v>0.05511480697947</v>
      </c>
      <c r="K555" s="0" t="n">
        <f aca="false">(1+J555)^(-A555*constant!$B$1)</f>
        <v>0.0843861823636906</v>
      </c>
      <c r="L555" s="0" t="n">
        <f aca="false">K555*I555</f>
        <v>0.0540123335038556</v>
      </c>
    </row>
    <row r="556" customFormat="false" ht="12.8" hidden="false" customHeight="false" outlineLevel="0" collapsed="false">
      <c r="A556" s="0" t="n">
        <v>554</v>
      </c>
      <c r="B556" s="0" t="n">
        <f aca="false">calc_cohort!D$2+constant!$B$1*A556</f>
        <v>77.3666666666667</v>
      </c>
      <c r="C556" s="0" t="n">
        <f aca="false">_xlfn.FLOOR.MATH(B556)</f>
        <v>77</v>
      </c>
      <c r="D556" s="4" t="n">
        <f aca="false">INDEX(table_mortality_rate!$A$1:$C$2000,MATCH(C556,table_mortality_rate!$A$1:$A$2000,0),MATCH(calc_cohort!$E$2,table_mortality_rate!A$1:C$1,0))</f>
        <v>0.051538</v>
      </c>
      <c r="E556" s="0" t="n">
        <f aca="false">(1-D556)^constant!$B$1</f>
        <v>0.995600244602108</v>
      </c>
      <c r="F556" s="0" t="n">
        <f aca="false">IF(A556=0,1,F555*E556)</f>
        <v>0.619687422755417</v>
      </c>
      <c r="G556" s="5" t="b">
        <f aca="false">B556&gt;=calc_cohort!C$2</f>
        <v>1</v>
      </c>
      <c r="H556" s="0" t="n">
        <f aca="false">IF(G556,1,0)</f>
        <v>1</v>
      </c>
      <c r="I556" s="0" t="n">
        <f aca="false">calc_cohort!$B$2*constant!$B$1*F556*H556</f>
        <v>0.637245233066821</v>
      </c>
      <c r="J556" s="0" t="n">
        <f aca="false">INDEX(table_spot_rate!B$1:B$2000,MATCH(A556,table_spot_rate!A$1:A$2000,0))</f>
        <v>0.0583724764949988</v>
      </c>
      <c r="K556" s="0" t="n">
        <f aca="false">(1+J556)^(-A556*constant!$B$1)</f>
        <v>0.0728653175942831</v>
      </c>
      <c r="L556" s="0" t="n">
        <f aca="false">K556*I556</f>
        <v>0.0464330762928568</v>
      </c>
    </row>
    <row r="557" customFormat="false" ht="12.8" hidden="false" customHeight="false" outlineLevel="0" collapsed="false">
      <c r="A557" s="0" t="n">
        <v>555</v>
      </c>
      <c r="B557" s="0" t="n">
        <f aca="false">calc_cohort!D$2+constant!$B$1*A557</f>
        <v>77.45</v>
      </c>
      <c r="C557" s="0" t="n">
        <f aca="false">_xlfn.FLOOR.MATH(B557)</f>
        <v>77</v>
      </c>
      <c r="D557" s="4" t="n">
        <f aca="false">INDEX(table_mortality_rate!$A$1:$C$2000,MATCH(C557,table_mortality_rate!$A$1:$A$2000,0),MATCH(calc_cohort!$E$2,table_mortality_rate!A$1:C$1,0))</f>
        <v>0.051538</v>
      </c>
      <c r="E557" s="0" t="n">
        <f aca="false">(1-D557)^constant!$B$1</f>
        <v>0.995600244602108</v>
      </c>
      <c r="F557" s="0" t="n">
        <f aca="false">IF(A557=0,1,F556*E557)</f>
        <v>0.616960949672143</v>
      </c>
      <c r="G557" s="5" t="b">
        <f aca="false">B557&gt;=calc_cohort!C$2</f>
        <v>1</v>
      </c>
      <c r="H557" s="0" t="n">
        <f aca="false">IF(G557,1,0)</f>
        <v>1</v>
      </c>
      <c r="I557" s="0" t="n">
        <f aca="false">calc_cohort!$B$2*constant!$B$1*F557*H557</f>
        <v>0.634441509912854</v>
      </c>
      <c r="J557" s="0" t="n">
        <f aca="false">INDEX(table_spot_rate!B$1:B$2000,MATCH(A557,table_spot_rate!A$1:A$2000,0))</f>
        <v>0.0577576176346294</v>
      </c>
      <c r="K557" s="0" t="n">
        <f aca="false">(1+J557)^(-A557*constant!$B$1)</f>
        <v>0.0744972125223542</v>
      </c>
      <c r="L557" s="0" t="n">
        <f aca="false">K557*I557</f>
        <v>0.0472641239969812</v>
      </c>
    </row>
    <row r="558" customFormat="false" ht="12.8" hidden="false" customHeight="false" outlineLevel="0" collapsed="false">
      <c r="A558" s="0" t="n">
        <v>556</v>
      </c>
      <c r="B558" s="0" t="n">
        <f aca="false">calc_cohort!D$2+constant!$B$1*A558</f>
        <v>77.5333333333333</v>
      </c>
      <c r="C558" s="0" t="n">
        <f aca="false">_xlfn.FLOOR.MATH(B558)</f>
        <v>77</v>
      </c>
      <c r="D558" s="4" t="n">
        <f aca="false">INDEX(table_mortality_rate!$A$1:$C$2000,MATCH(C558,table_mortality_rate!$A$1:$A$2000,0),MATCH(calc_cohort!$E$2,table_mortality_rate!A$1:C$1,0))</f>
        <v>0.051538</v>
      </c>
      <c r="E558" s="0" t="n">
        <f aca="false">(1-D558)^constant!$B$1</f>
        <v>0.995600244602108</v>
      </c>
      <c r="F558" s="0" t="n">
        <f aca="false">IF(A558=0,1,F557*E558)</f>
        <v>0.614246472403535</v>
      </c>
      <c r="G558" s="5" t="b">
        <f aca="false">B558&gt;=calc_cohort!C$2</f>
        <v>1</v>
      </c>
      <c r="H558" s="0" t="n">
        <f aca="false">IF(G558,1,0)</f>
        <v>1</v>
      </c>
      <c r="I558" s="0" t="n">
        <f aca="false">calc_cohort!$B$2*constant!$B$1*F558*H558</f>
        <v>0.631650122454968</v>
      </c>
      <c r="J558" s="0" t="n">
        <f aca="false">INDEX(table_spot_rate!B$1:B$2000,MATCH(A558,table_spot_rate!A$1:A$2000,0))</f>
        <v>0.0575572115601962</v>
      </c>
      <c r="K558" s="0" t="n">
        <f aca="false">(1+J558)^(-A558*constant!$B$1)</f>
        <v>0.074803279790099</v>
      </c>
      <c r="L558" s="0" t="n">
        <f aca="false">K558*I558</f>
        <v>0.0472495008394493</v>
      </c>
    </row>
    <row r="559" customFormat="false" ht="12.8" hidden="false" customHeight="false" outlineLevel="0" collapsed="false">
      <c r="A559" s="0" t="n">
        <v>557</v>
      </c>
      <c r="B559" s="0" t="n">
        <f aca="false">calc_cohort!D$2+constant!$B$1*A559</f>
        <v>77.6166666666667</v>
      </c>
      <c r="C559" s="0" t="n">
        <f aca="false">_xlfn.FLOOR.MATH(B559)</f>
        <v>77</v>
      </c>
      <c r="D559" s="4" t="n">
        <f aca="false">INDEX(table_mortality_rate!$A$1:$C$2000,MATCH(C559,table_mortality_rate!$A$1:$A$2000,0),MATCH(calc_cohort!$E$2,table_mortality_rate!A$1:C$1,0))</f>
        <v>0.051538</v>
      </c>
      <c r="E559" s="0" t="n">
        <f aca="false">(1-D559)^constant!$B$1</f>
        <v>0.995600244602108</v>
      </c>
      <c r="F559" s="0" t="n">
        <f aca="false">IF(A559=0,1,F558*E559)</f>
        <v>0.611543938170941</v>
      </c>
      <c r="G559" s="5" t="b">
        <f aca="false">B559&gt;=calc_cohort!C$2</f>
        <v>1</v>
      </c>
      <c r="H559" s="0" t="n">
        <f aca="false">IF(G559,1,0)</f>
        <v>1</v>
      </c>
      <c r="I559" s="0" t="n">
        <f aca="false">calc_cohort!$B$2*constant!$B$1*F559*H559</f>
        <v>0.628871016419118</v>
      </c>
      <c r="J559" s="0" t="n">
        <f aca="false">INDEX(table_spot_rate!B$1:B$2000,MATCH(A559,table_spot_rate!A$1:A$2000,0))</f>
        <v>0.054355318096032</v>
      </c>
      <c r="K559" s="0" t="n">
        <f aca="false">(1+J559)^(-A559*constant!$B$1)</f>
        <v>0.0857078126331152</v>
      </c>
      <c r="L559" s="0" t="n">
        <f aca="false">K559*I559</f>
        <v>0.0538991592456465</v>
      </c>
    </row>
    <row r="560" customFormat="false" ht="12.8" hidden="false" customHeight="false" outlineLevel="0" collapsed="false">
      <c r="A560" s="0" t="n">
        <v>558</v>
      </c>
      <c r="B560" s="0" t="n">
        <f aca="false">calc_cohort!D$2+constant!$B$1*A560</f>
        <v>77.7</v>
      </c>
      <c r="C560" s="0" t="n">
        <f aca="false">_xlfn.FLOOR.MATH(B560)</f>
        <v>77</v>
      </c>
      <c r="D560" s="4" t="n">
        <f aca="false">INDEX(table_mortality_rate!$A$1:$C$2000,MATCH(C560,table_mortality_rate!$A$1:$A$2000,0),MATCH(calc_cohort!$E$2,table_mortality_rate!A$1:C$1,0))</f>
        <v>0.051538</v>
      </c>
      <c r="E560" s="0" t="n">
        <f aca="false">(1-D560)^constant!$B$1</f>
        <v>0.995600244602108</v>
      </c>
      <c r="F560" s="0" t="n">
        <f aca="false">IF(A560=0,1,F559*E560)</f>
        <v>0.608853294427926</v>
      </c>
      <c r="G560" s="5" t="b">
        <f aca="false">B560&gt;=calc_cohort!C$2</f>
        <v>1</v>
      </c>
      <c r="H560" s="0" t="n">
        <f aca="false">IF(G560,1,0)</f>
        <v>1</v>
      </c>
      <c r="I560" s="0" t="n">
        <f aca="false">calc_cohort!$B$2*constant!$B$1*F560*H560</f>
        <v>0.62610413777005</v>
      </c>
      <c r="J560" s="0" t="n">
        <f aca="false">INDEX(table_spot_rate!B$1:B$2000,MATCH(A560,table_spot_rate!A$1:A$2000,0))</f>
        <v>0.0568786484122111</v>
      </c>
      <c r="K560" s="0" t="n">
        <f aca="false">(1+J560)^(-A560*constant!$B$1)</f>
        <v>0.0763539882387429</v>
      </c>
      <c r="L560" s="0" t="n">
        <f aca="false">K560*I560</f>
        <v>0.0478055479715227</v>
      </c>
    </row>
    <row r="561" customFormat="false" ht="12.8" hidden="false" customHeight="false" outlineLevel="0" collapsed="false">
      <c r="A561" s="0" t="n">
        <v>559</v>
      </c>
      <c r="B561" s="0" t="n">
        <f aca="false">calc_cohort!D$2+constant!$B$1*A561</f>
        <v>77.7833333333333</v>
      </c>
      <c r="C561" s="0" t="n">
        <f aca="false">_xlfn.FLOOR.MATH(B561)</f>
        <v>77</v>
      </c>
      <c r="D561" s="4" t="n">
        <f aca="false">INDEX(table_mortality_rate!$A$1:$C$2000,MATCH(C561,table_mortality_rate!$A$1:$A$2000,0),MATCH(calc_cohort!$E$2,table_mortality_rate!A$1:C$1,0))</f>
        <v>0.051538</v>
      </c>
      <c r="E561" s="0" t="n">
        <f aca="false">(1-D561)^constant!$B$1</f>
        <v>0.995600244602108</v>
      </c>
      <c r="F561" s="0" t="n">
        <f aca="false">IF(A561=0,1,F560*E561)</f>
        <v>0.606174488859242</v>
      </c>
      <c r="G561" s="5" t="b">
        <f aca="false">B561&gt;=calc_cohort!C$2</f>
        <v>1</v>
      </c>
      <c r="H561" s="0" t="n">
        <f aca="false">IF(G561,1,0)</f>
        <v>1</v>
      </c>
      <c r="I561" s="0" t="n">
        <f aca="false">calc_cohort!$B$2*constant!$B$1*F561*H561</f>
        <v>0.623349432710254</v>
      </c>
      <c r="J561" s="0" t="n">
        <f aca="false">INDEX(table_spot_rate!B$1:B$2000,MATCH(A561,table_spot_rate!A$1:A$2000,0))</f>
        <v>0.0549598282458702</v>
      </c>
      <c r="K561" s="0" t="n">
        <f aca="false">(1+J561)^(-A561*constant!$B$1)</f>
        <v>0.0827167149039664</v>
      </c>
      <c r="L561" s="0" t="n">
        <f aca="false">K561*I561</f>
        <v>0.0515614173110432</v>
      </c>
    </row>
    <row r="562" customFormat="false" ht="12.8" hidden="false" customHeight="false" outlineLevel="0" collapsed="false">
      <c r="A562" s="0" t="n">
        <v>560</v>
      </c>
      <c r="B562" s="0" t="n">
        <f aca="false">calc_cohort!D$2+constant!$B$1*A562</f>
        <v>77.8666666666667</v>
      </c>
      <c r="C562" s="0" t="n">
        <f aca="false">_xlfn.FLOOR.MATH(B562)</f>
        <v>77</v>
      </c>
      <c r="D562" s="4" t="n">
        <f aca="false">INDEX(table_mortality_rate!$A$1:$C$2000,MATCH(C562,table_mortality_rate!$A$1:$A$2000,0),MATCH(calc_cohort!$E$2,table_mortality_rate!A$1:C$1,0))</f>
        <v>0.051538</v>
      </c>
      <c r="E562" s="0" t="n">
        <f aca="false">(1-D562)^constant!$B$1</f>
        <v>0.995600244602108</v>
      </c>
      <c r="F562" s="0" t="n">
        <f aca="false">IF(A562=0,1,F561*E562)</f>
        <v>0.603507469379819</v>
      </c>
      <c r="G562" s="5" t="b">
        <f aca="false">B562&gt;=calc_cohort!C$2</f>
        <v>1</v>
      </c>
      <c r="H562" s="0" t="n">
        <f aca="false">IF(G562,1,0)</f>
        <v>1</v>
      </c>
      <c r="I562" s="0" t="n">
        <f aca="false">calc_cohort!$B$2*constant!$B$1*F562*H562</f>
        <v>0.620606847678914</v>
      </c>
      <c r="J562" s="0" t="n">
        <f aca="false">INDEX(table_spot_rate!B$1:B$2000,MATCH(A562,table_spot_rate!A$1:A$2000,0))</f>
        <v>0.0518324486084891</v>
      </c>
      <c r="K562" s="0" t="n">
        <f aca="false">(1+J562)^(-A562*constant!$B$1)</f>
        <v>0.0945860284276743</v>
      </c>
      <c r="L562" s="0" t="n">
        <f aca="false">K562*I562</f>
        <v>0.0587007369369671</v>
      </c>
    </row>
    <row r="563" customFormat="false" ht="12.8" hidden="false" customHeight="false" outlineLevel="0" collapsed="false">
      <c r="A563" s="0" t="n">
        <v>561</v>
      </c>
      <c r="B563" s="0" t="n">
        <f aca="false">calc_cohort!D$2+constant!$B$1*A563</f>
        <v>77.95</v>
      </c>
      <c r="C563" s="0" t="n">
        <f aca="false">_xlfn.FLOOR.MATH(B563)</f>
        <v>77</v>
      </c>
      <c r="D563" s="4" t="n">
        <f aca="false">INDEX(table_mortality_rate!$A$1:$C$2000,MATCH(C563,table_mortality_rate!$A$1:$A$2000,0),MATCH(calc_cohort!$E$2,table_mortality_rate!A$1:C$1,0))</f>
        <v>0.051538</v>
      </c>
      <c r="E563" s="0" t="n">
        <f aca="false">(1-D563)^constant!$B$1</f>
        <v>0.995600244602108</v>
      </c>
      <c r="F563" s="0" t="n">
        <f aca="false">IF(A563=0,1,F562*E563)</f>
        <v>0.600852184133747</v>
      </c>
      <c r="G563" s="5" t="b">
        <f aca="false">B563&gt;=calc_cohort!C$2</f>
        <v>1</v>
      </c>
      <c r="H563" s="0" t="n">
        <f aca="false">IF(G563,1,0)</f>
        <v>1</v>
      </c>
      <c r="I563" s="0" t="n">
        <f aca="false">calc_cohort!$B$2*constant!$B$1*F563*H563</f>
        <v>0.61787632935087</v>
      </c>
      <c r="J563" s="0" t="n">
        <f aca="false">INDEX(table_spot_rate!B$1:B$2000,MATCH(A563,table_spot_rate!A$1:A$2000,0))</f>
        <v>0.055389004293383</v>
      </c>
      <c r="K563" s="0" t="n">
        <f aca="false">(1+J563)^(-A563*constant!$B$1)</f>
        <v>0.0804382439694091</v>
      </c>
      <c r="L563" s="0" t="n">
        <f aca="false">K563*I563</f>
        <v>0.0497008869232482</v>
      </c>
    </row>
    <row r="564" customFormat="false" ht="12.8" hidden="false" customHeight="false" outlineLevel="0" collapsed="false">
      <c r="A564" s="0" t="n">
        <v>562</v>
      </c>
      <c r="B564" s="0" t="n">
        <f aca="false">calc_cohort!D$2+constant!$B$1*A564</f>
        <v>78.0333333333333</v>
      </c>
      <c r="C564" s="0" t="n">
        <f aca="false">_xlfn.FLOOR.MATH(B564)</f>
        <v>78</v>
      </c>
      <c r="D564" s="4" t="n">
        <f aca="false">INDEX(table_mortality_rate!$A$1:$C$2000,MATCH(C564,table_mortality_rate!$A$1:$A$2000,0),MATCH(calc_cohort!$E$2,table_mortality_rate!A$1:C$1,0))</f>
        <v>0.056956</v>
      </c>
      <c r="E564" s="0" t="n">
        <f aca="false">(1-D564)^constant!$B$1</f>
        <v>0.995125059793793</v>
      </c>
      <c r="F564" s="0" t="n">
        <f aca="false">IF(A564=0,1,F563*E564)</f>
        <v>0.597923065663326</v>
      </c>
      <c r="G564" s="5" t="b">
        <f aca="false">B564&gt;=calc_cohort!C$2</f>
        <v>1</v>
      </c>
      <c r="H564" s="0" t="n">
        <f aca="false">IF(G564,1,0)</f>
        <v>1</v>
      </c>
      <c r="I564" s="0" t="n">
        <f aca="false">calc_cohort!$B$2*constant!$B$1*F564*H564</f>
        <v>0.614864219190454</v>
      </c>
      <c r="J564" s="0" t="n">
        <f aca="false">INDEX(table_spot_rate!B$1:B$2000,MATCH(A564,table_spot_rate!A$1:A$2000,0))</f>
        <v>0.0506225486974385</v>
      </c>
      <c r="K564" s="0" t="n">
        <f aca="false">(1+J564)^(-A564*constant!$B$1)</f>
        <v>0.0989871295672561</v>
      </c>
      <c r="L564" s="0" t="n">
        <f aca="false">K564*I564</f>
        <v>0.0608636441312752</v>
      </c>
    </row>
    <row r="565" customFormat="false" ht="12.8" hidden="false" customHeight="false" outlineLevel="0" collapsed="false">
      <c r="A565" s="0" t="n">
        <v>563</v>
      </c>
      <c r="B565" s="0" t="n">
        <f aca="false">calc_cohort!D$2+constant!$B$1*A565</f>
        <v>78.1166666666667</v>
      </c>
      <c r="C565" s="0" t="n">
        <f aca="false">_xlfn.FLOOR.MATH(B565)</f>
        <v>78</v>
      </c>
      <c r="D565" s="4" t="n">
        <f aca="false">INDEX(table_mortality_rate!$A$1:$C$2000,MATCH(C565,table_mortality_rate!$A$1:$A$2000,0),MATCH(calc_cohort!$E$2,table_mortality_rate!A$1:C$1,0))</f>
        <v>0.056956</v>
      </c>
      <c r="E565" s="0" t="n">
        <f aca="false">(1-D565)^constant!$B$1</f>
        <v>0.995125059793793</v>
      </c>
      <c r="F565" s="0" t="n">
        <f aca="false">IF(A565=0,1,F564*E565)</f>
        <v>0.595008226470305</v>
      </c>
      <c r="G565" s="5" t="b">
        <f aca="false">B565&gt;=calc_cohort!C$2</f>
        <v>1</v>
      </c>
      <c r="H565" s="0" t="n">
        <f aca="false">IF(G565,1,0)</f>
        <v>1</v>
      </c>
      <c r="I565" s="0" t="n">
        <f aca="false">calc_cohort!$B$2*constant!$B$1*F565*H565</f>
        <v>0.611866792886964</v>
      </c>
      <c r="J565" s="0" t="n">
        <f aca="false">INDEX(table_spot_rate!B$1:B$2000,MATCH(A565,table_spot_rate!A$1:A$2000,0))</f>
        <v>0.0562997519863248</v>
      </c>
      <c r="K565" s="0" t="n">
        <f aca="false">(1+J565)^(-A565*constant!$B$1)</f>
        <v>0.076557000116737</v>
      </c>
      <c r="L565" s="0" t="n">
        <f aca="false">K565*I565</f>
        <v>0.0468426861344748</v>
      </c>
    </row>
    <row r="566" customFormat="false" ht="12.8" hidden="false" customHeight="false" outlineLevel="0" collapsed="false">
      <c r="A566" s="0" t="n">
        <v>564</v>
      </c>
      <c r="B566" s="0" t="n">
        <f aca="false">calc_cohort!D$2+constant!$B$1*A566</f>
        <v>78.2</v>
      </c>
      <c r="C566" s="0" t="n">
        <f aca="false">_xlfn.FLOOR.MATH(B566)</f>
        <v>78</v>
      </c>
      <c r="D566" s="4" t="n">
        <f aca="false">INDEX(table_mortality_rate!$A$1:$C$2000,MATCH(C566,table_mortality_rate!$A$1:$A$2000,0),MATCH(calc_cohort!$E$2,table_mortality_rate!A$1:C$1,0))</f>
        <v>0.056956</v>
      </c>
      <c r="E566" s="0" t="n">
        <f aca="false">(1-D566)^constant!$B$1</f>
        <v>0.995125059793793</v>
      </c>
      <c r="F566" s="0" t="n">
        <f aca="false">IF(A566=0,1,F565*E566)</f>
        <v>0.592107596944061</v>
      </c>
      <c r="G566" s="5" t="b">
        <f aca="false">B566&gt;=calc_cohort!C$2</f>
        <v>1</v>
      </c>
      <c r="H566" s="0" t="n">
        <f aca="false">IF(G566,1,0)</f>
        <v>1</v>
      </c>
      <c r="I566" s="0" t="n">
        <f aca="false">calc_cohort!$B$2*constant!$B$1*F566*H566</f>
        <v>0.608883978857476</v>
      </c>
      <c r="J566" s="0" t="n">
        <f aca="false">INDEX(table_spot_rate!B$1:B$2000,MATCH(A566,table_spot_rate!A$1:A$2000,0))</f>
        <v>0.0547364213405028</v>
      </c>
      <c r="K566" s="0" t="n">
        <f aca="false">(1+J566)^(-A566*constant!$B$1)</f>
        <v>0.0817023746782349</v>
      </c>
      <c r="L566" s="0" t="n">
        <f aca="false">K566*I566</f>
        <v>0.049747266976188</v>
      </c>
    </row>
    <row r="567" customFormat="false" ht="12.8" hidden="false" customHeight="false" outlineLevel="0" collapsed="false">
      <c r="A567" s="0" t="n">
        <v>565</v>
      </c>
      <c r="B567" s="0" t="n">
        <f aca="false">calc_cohort!D$2+constant!$B$1*A567</f>
        <v>78.2833333333333</v>
      </c>
      <c r="C567" s="0" t="n">
        <f aca="false">_xlfn.FLOOR.MATH(B567)</f>
        <v>78</v>
      </c>
      <c r="D567" s="4" t="n">
        <f aca="false">INDEX(table_mortality_rate!$A$1:$C$2000,MATCH(C567,table_mortality_rate!$A$1:$A$2000,0),MATCH(calc_cohort!$E$2,table_mortality_rate!A$1:C$1,0))</f>
        <v>0.056956</v>
      </c>
      <c r="E567" s="0" t="n">
        <f aca="false">(1-D567)^constant!$B$1</f>
        <v>0.995125059793793</v>
      </c>
      <c r="F567" s="0" t="n">
        <f aca="false">IF(A567=0,1,F566*E567)</f>
        <v>0.589221107813318</v>
      </c>
      <c r="G567" s="5" t="b">
        <f aca="false">B567&gt;=calc_cohort!C$2</f>
        <v>1</v>
      </c>
      <c r="H567" s="0" t="n">
        <f aca="false">IF(G567,1,0)</f>
        <v>1</v>
      </c>
      <c r="I567" s="0" t="n">
        <f aca="false">calc_cohort!$B$2*constant!$B$1*F567*H567</f>
        <v>0.605915705868029</v>
      </c>
      <c r="J567" s="0" t="n">
        <f aca="false">INDEX(table_spot_rate!B$1:B$2000,MATCH(A567,table_spot_rate!A$1:A$2000,0))</f>
        <v>0.0574893369885576</v>
      </c>
      <c r="K567" s="0" t="n">
        <f aca="false">(1+J567)^(-A567*constant!$B$1)</f>
        <v>0.0719457500032437</v>
      </c>
      <c r="L567" s="0" t="n">
        <f aca="false">K567*I567</f>
        <v>0.0435930598974201</v>
      </c>
    </row>
    <row r="568" customFormat="false" ht="12.8" hidden="false" customHeight="false" outlineLevel="0" collapsed="false">
      <c r="A568" s="0" t="n">
        <v>566</v>
      </c>
      <c r="B568" s="0" t="n">
        <f aca="false">calc_cohort!D$2+constant!$B$1*A568</f>
        <v>78.3666666666667</v>
      </c>
      <c r="C568" s="0" t="n">
        <f aca="false">_xlfn.FLOOR.MATH(B568)</f>
        <v>78</v>
      </c>
      <c r="D568" s="4" t="n">
        <f aca="false">INDEX(table_mortality_rate!$A$1:$C$2000,MATCH(C568,table_mortality_rate!$A$1:$A$2000,0),MATCH(calc_cohort!$E$2,table_mortality_rate!A$1:C$1,0))</f>
        <v>0.056956</v>
      </c>
      <c r="E568" s="0" t="n">
        <f aca="false">(1-D568)^constant!$B$1</f>
        <v>0.995125059793793</v>
      </c>
      <c r="F568" s="0" t="n">
        <f aca="false">IF(A568=0,1,F567*E568)</f>
        <v>0.586348690144493</v>
      </c>
      <c r="G568" s="5" t="b">
        <f aca="false">B568&gt;=calc_cohort!C$2</f>
        <v>1</v>
      </c>
      <c r="H568" s="0" t="n">
        <f aca="false">IF(G568,1,0)</f>
        <v>1</v>
      </c>
      <c r="I568" s="0" t="n">
        <f aca="false">calc_cohort!$B$2*constant!$B$1*F568*H568</f>
        <v>0.60296190303192</v>
      </c>
      <c r="J568" s="0" t="n">
        <f aca="false">INDEX(table_spot_rate!B$1:B$2000,MATCH(A568,table_spot_rate!A$1:A$2000,0))</f>
        <v>0.0540790508579249</v>
      </c>
      <c r="K568" s="0" t="n">
        <f aca="false">(1+J568)^(-A568*constant!$B$1)</f>
        <v>0.0833965806637121</v>
      </c>
      <c r="L568" s="0" t="n">
        <f aca="false">K568*I568</f>
        <v>0.0502849609833469</v>
      </c>
    </row>
    <row r="569" customFormat="false" ht="12.8" hidden="false" customHeight="false" outlineLevel="0" collapsed="false">
      <c r="A569" s="0" t="n">
        <v>567</v>
      </c>
      <c r="B569" s="0" t="n">
        <f aca="false">calc_cohort!D$2+constant!$B$1*A569</f>
        <v>78.45</v>
      </c>
      <c r="C569" s="0" t="n">
        <f aca="false">_xlfn.FLOOR.MATH(B569)</f>
        <v>78</v>
      </c>
      <c r="D569" s="4" t="n">
        <f aca="false">INDEX(table_mortality_rate!$A$1:$C$2000,MATCH(C569,table_mortality_rate!$A$1:$A$2000,0),MATCH(calc_cohort!$E$2,table_mortality_rate!A$1:C$1,0))</f>
        <v>0.056956</v>
      </c>
      <c r="E569" s="0" t="n">
        <f aca="false">(1-D569)^constant!$B$1</f>
        <v>0.995125059793793</v>
      </c>
      <c r="F569" s="0" t="n">
        <f aca="false">IF(A569=0,1,F568*E569)</f>
        <v>0.58349027534005</v>
      </c>
      <c r="G569" s="5" t="b">
        <f aca="false">B569&gt;=calc_cohort!C$2</f>
        <v>1</v>
      </c>
      <c r="H569" s="0" t="n">
        <f aca="false">IF(G569,1,0)</f>
        <v>1</v>
      </c>
      <c r="I569" s="0" t="n">
        <f aca="false">calc_cohort!$B$2*constant!$B$1*F569*H569</f>
        <v>0.600022499808018</v>
      </c>
      <c r="J569" s="0" t="n">
        <f aca="false">INDEX(table_spot_rate!B$1:B$2000,MATCH(A569,table_spot_rate!A$1:A$2000,0))</f>
        <v>0.0547902468723712</v>
      </c>
      <c r="K569" s="0" t="n">
        <f aca="false">(1+J569)^(-A569*constant!$B$1)</f>
        <v>0.0804269349811971</v>
      </c>
      <c r="L569" s="0" t="n">
        <f aca="false">K569*I569</f>
        <v>0.0482579705793149</v>
      </c>
    </row>
    <row r="570" customFormat="false" ht="12.8" hidden="false" customHeight="false" outlineLevel="0" collapsed="false">
      <c r="A570" s="0" t="n">
        <v>568</v>
      </c>
      <c r="B570" s="0" t="n">
        <f aca="false">calc_cohort!D$2+constant!$B$1*A570</f>
        <v>78.5333333333333</v>
      </c>
      <c r="C570" s="0" t="n">
        <f aca="false">_xlfn.FLOOR.MATH(B570)</f>
        <v>78</v>
      </c>
      <c r="D570" s="4" t="n">
        <f aca="false">INDEX(table_mortality_rate!$A$1:$C$2000,MATCH(C570,table_mortality_rate!$A$1:$A$2000,0),MATCH(calc_cohort!$E$2,table_mortality_rate!A$1:C$1,0))</f>
        <v>0.056956</v>
      </c>
      <c r="E570" s="0" t="n">
        <f aca="false">(1-D570)^constant!$B$1</f>
        <v>0.995125059793793</v>
      </c>
      <c r="F570" s="0" t="n">
        <f aca="false">IF(A570=0,1,F569*E570)</f>
        <v>0.580645795136864</v>
      </c>
      <c r="G570" s="5" t="b">
        <f aca="false">B570&gt;=calc_cohort!C$2</f>
        <v>1</v>
      </c>
      <c r="H570" s="0" t="n">
        <f aca="false">IF(G570,1,0)</f>
        <v>1</v>
      </c>
      <c r="I570" s="0" t="n">
        <f aca="false">calc_cohort!$B$2*constant!$B$1*F570*H570</f>
        <v>0.597097425999075</v>
      </c>
      <c r="J570" s="0" t="n">
        <f aca="false">INDEX(table_spot_rate!B$1:B$2000,MATCH(A570,table_spot_rate!A$1:A$2000,0))</f>
        <v>0.0520381690683473</v>
      </c>
      <c r="K570" s="0" t="n">
        <f aca="false">(1+J570)^(-A570*constant!$B$1)</f>
        <v>0.0906099351330695</v>
      </c>
      <c r="L570" s="0" t="n">
        <f aca="false">K570*I570</f>
        <v>0.054102959037899</v>
      </c>
    </row>
    <row r="571" customFormat="false" ht="12.8" hidden="false" customHeight="false" outlineLevel="0" collapsed="false">
      <c r="A571" s="0" t="n">
        <v>569</v>
      </c>
      <c r="B571" s="0" t="n">
        <f aca="false">calc_cohort!D$2+constant!$B$1*A571</f>
        <v>78.6166666666667</v>
      </c>
      <c r="C571" s="0" t="n">
        <f aca="false">_xlfn.FLOOR.MATH(B571)</f>
        <v>78</v>
      </c>
      <c r="D571" s="4" t="n">
        <f aca="false">INDEX(table_mortality_rate!$A$1:$C$2000,MATCH(C571,table_mortality_rate!$A$1:$A$2000,0),MATCH(calc_cohort!$E$2,table_mortality_rate!A$1:C$1,0))</f>
        <v>0.056956</v>
      </c>
      <c r="E571" s="0" t="n">
        <f aca="false">(1-D571)^constant!$B$1</f>
        <v>0.995125059793793</v>
      </c>
      <c r="F571" s="0" t="n">
        <f aca="false">IF(A571=0,1,F570*E571)</f>
        <v>0.577815181604586</v>
      </c>
      <c r="G571" s="5" t="b">
        <f aca="false">B571&gt;=calc_cohort!C$2</f>
        <v>1</v>
      </c>
      <c r="H571" s="0" t="n">
        <f aca="false">IF(G571,1,0)</f>
        <v>1</v>
      </c>
      <c r="I571" s="0" t="n">
        <f aca="false">calc_cohort!$B$2*constant!$B$1*F571*H571</f>
        <v>0.59418661175005</v>
      </c>
      <c r="J571" s="0" t="n">
        <f aca="false">INDEX(table_spot_rate!B$1:B$2000,MATCH(A571,table_spot_rate!A$1:A$2000,0))</f>
        <v>0.0504293595229057</v>
      </c>
      <c r="K571" s="0" t="n">
        <f aca="false">(1+J571)^(-A571*constant!$B$1)</f>
        <v>0.0970186240233742</v>
      </c>
      <c r="L571" s="0" t="n">
        <f aca="false">K571*I571</f>
        <v>0.0576471674851007</v>
      </c>
    </row>
    <row r="572" customFormat="false" ht="12.8" hidden="false" customHeight="false" outlineLevel="0" collapsed="false">
      <c r="A572" s="0" t="n">
        <v>570</v>
      </c>
      <c r="B572" s="0" t="n">
        <f aca="false">calc_cohort!D$2+constant!$B$1*A572</f>
        <v>78.7</v>
      </c>
      <c r="C572" s="0" t="n">
        <f aca="false">_xlfn.FLOOR.MATH(B572)</f>
        <v>78</v>
      </c>
      <c r="D572" s="4" t="n">
        <f aca="false">INDEX(table_mortality_rate!$A$1:$C$2000,MATCH(C572,table_mortality_rate!$A$1:$A$2000,0),MATCH(calc_cohort!$E$2,table_mortality_rate!A$1:C$1,0))</f>
        <v>0.056956</v>
      </c>
      <c r="E572" s="0" t="n">
        <f aca="false">(1-D572)^constant!$B$1</f>
        <v>0.995125059793793</v>
      </c>
      <c r="F572" s="0" t="n">
        <f aca="false">IF(A572=0,1,F571*E572)</f>
        <v>0.574998367144025</v>
      </c>
      <c r="G572" s="5" t="b">
        <f aca="false">B572&gt;=calc_cohort!C$2</f>
        <v>1</v>
      </c>
      <c r="H572" s="0" t="n">
        <f aca="false">IF(G572,1,0)</f>
        <v>1</v>
      </c>
      <c r="I572" s="0" t="n">
        <f aca="false">calc_cohort!$B$2*constant!$B$1*F572*H572</f>
        <v>0.591289987546439</v>
      </c>
      <c r="J572" s="0" t="n">
        <f aca="false">INDEX(table_spot_rate!B$1:B$2000,MATCH(A572,table_spot_rate!A$1:A$2000,0))</f>
        <v>0.050381727582438</v>
      </c>
      <c r="K572" s="0" t="n">
        <f aca="false">(1+J572)^(-A572*constant!$B$1)</f>
        <v>0.0968300122806028</v>
      </c>
      <c r="L572" s="0" t="n">
        <f aca="false">K572*I572</f>
        <v>0.0572546167555192</v>
      </c>
    </row>
    <row r="573" customFormat="false" ht="12.8" hidden="false" customHeight="false" outlineLevel="0" collapsed="false">
      <c r="A573" s="0" t="n">
        <v>571</v>
      </c>
      <c r="B573" s="0" t="n">
        <f aca="false">calc_cohort!D$2+constant!$B$1*A573</f>
        <v>78.7833333333333</v>
      </c>
      <c r="C573" s="0" t="n">
        <f aca="false">_xlfn.FLOOR.MATH(B573)</f>
        <v>78</v>
      </c>
      <c r="D573" s="4" t="n">
        <f aca="false">INDEX(table_mortality_rate!$A$1:$C$2000,MATCH(C573,table_mortality_rate!$A$1:$A$2000,0),MATCH(calc_cohort!$E$2,table_mortality_rate!A$1:C$1,0))</f>
        <v>0.056956</v>
      </c>
      <c r="E573" s="0" t="n">
        <f aca="false">(1-D573)^constant!$B$1</f>
        <v>0.995125059793793</v>
      </c>
      <c r="F573" s="0" t="n">
        <f aca="false">IF(A573=0,1,F572*E573)</f>
        <v>0.572195284485531</v>
      </c>
      <c r="G573" s="5" t="b">
        <f aca="false">B573&gt;=calc_cohort!C$2</f>
        <v>1</v>
      </c>
      <c r="H573" s="0" t="n">
        <f aca="false">IF(G573,1,0)</f>
        <v>1</v>
      </c>
      <c r="I573" s="0" t="n">
        <f aca="false">calc_cohort!$B$2*constant!$B$1*F573*H573</f>
        <v>0.588407484212621</v>
      </c>
      <c r="J573" s="0" t="n">
        <f aca="false">INDEX(table_spot_rate!B$1:B$2000,MATCH(A573,table_spot_rate!A$1:A$2000,0))</f>
        <v>0.0543809648339303</v>
      </c>
      <c r="K573" s="0" t="n">
        <f aca="false">(1+J573)^(-A573*constant!$B$1)</f>
        <v>0.080482153345308</v>
      </c>
      <c r="L573" s="0" t="n">
        <f aca="false">K573*I573</f>
        <v>0.0473563013739271</v>
      </c>
    </row>
    <row r="574" customFormat="false" ht="12.8" hidden="false" customHeight="false" outlineLevel="0" collapsed="false">
      <c r="A574" s="0" t="n">
        <v>572</v>
      </c>
      <c r="B574" s="0" t="n">
        <f aca="false">calc_cohort!D$2+constant!$B$1*A574</f>
        <v>78.8666666666667</v>
      </c>
      <c r="C574" s="0" t="n">
        <f aca="false">_xlfn.FLOOR.MATH(B574)</f>
        <v>78</v>
      </c>
      <c r="D574" s="4" t="n">
        <f aca="false">INDEX(table_mortality_rate!$A$1:$C$2000,MATCH(C574,table_mortality_rate!$A$1:$A$2000,0),MATCH(calc_cohort!$E$2,table_mortality_rate!A$1:C$1,0))</f>
        <v>0.056956</v>
      </c>
      <c r="E574" s="0" t="n">
        <f aca="false">(1-D574)^constant!$B$1</f>
        <v>0.995125059793793</v>
      </c>
      <c r="F574" s="0" t="n">
        <f aca="false">IF(A574=0,1,F573*E574)</f>
        <v>0.569405866687391</v>
      </c>
      <c r="G574" s="5" t="b">
        <f aca="false">B574&gt;=calc_cohort!C$2</f>
        <v>1</v>
      </c>
      <c r="H574" s="0" t="n">
        <f aca="false">IF(G574,1,0)</f>
        <v>1</v>
      </c>
      <c r="I574" s="0" t="n">
        <f aca="false">calc_cohort!$B$2*constant!$B$1*F574*H574</f>
        <v>0.5855390329102</v>
      </c>
      <c r="J574" s="0" t="n">
        <f aca="false">INDEX(table_spot_rate!B$1:B$2000,MATCH(A574,table_spot_rate!A$1:A$2000,0))</f>
        <v>0.0531508058008383</v>
      </c>
      <c r="K574" s="0" t="n">
        <f aca="false">(1+J574)^(-A574*constant!$B$1)</f>
        <v>0.0847129419492078</v>
      </c>
      <c r="L574" s="0" t="n">
        <f aca="false">K574*I574</f>
        <v>0.049602734103917</v>
      </c>
    </row>
    <row r="575" customFormat="false" ht="12.8" hidden="false" customHeight="false" outlineLevel="0" collapsed="false">
      <c r="A575" s="0" t="n">
        <v>573</v>
      </c>
      <c r="B575" s="0" t="n">
        <f aca="false">calc_cohort!D$2+constant!$B$1*A575</f>
        <v>78.95</v>
      </c>
      <c r="C575" s="0" t="n">
        <f aca="false">_xlfn.FLOOR.MATH(B575)</f>
        <v>78</v>
      </c>
      <c r="D575" s="4" t="n">
        <f aca="false">INDEX(table_mortality_rate!$A$1:$C$2000,MATCH(C575,table_mortality_rate!$A$1:$A$2000,0),MATCH(calc_cohort!$E$2,table_mortality_rate!A$1:C$1,0))</f>
        <v>0.056956</v>
      </c>
      <c r="E575" s="0" t="n">
        <f aca="false">(1-D575)^constant!$B$1</f>
        <v>0.995125059793793</v>
      </c>
      <c r="F575" s="0" t="n">
        <f aca="false">IF(A575=0,1,F574*E575)</f>
        <v>0.566630047134226</v>
      </c>
      <c r="G575" s="5" t="b">
        <f aca="false">B575&gt;=calc_cohort!C$2</f>
        <v>1</v>
      </c>
      <c r="H575" s="0" t="n">
        <f aca="false">IF(G575,1,0)</f>
        <v>1</v>
      </c>
      <c r="I575" s="0" t="n">
        <f aca="false">calc_cohort!$B$2*constant!$B$1*F575*H575</f>
        <v>0.582684565136362</v>
      </c>
      <c r="J575" s="0" t="n">
        <f aca="false">INDEX(table_spot_rate!B$1:B$2000,MATCH(A575,table_spot_rate!A$1:A$2000,0))</f>
        <v>0.0535318755939634</v>
      </c>
      <c r="K575" s="0" t="n">
        <f aca="false">(1+J575)^(-A575*constant!$B$1)</f>
        <v>0.0829035778738798</v>
      </c>
      <c r="L575" s="0" t="n">
        <f aca="false">K575*I575</f>
        <v>0.0483066352216902</v>
      </c>
    </row>
    <row r="576" customFormat="false" ht="12.8" hidden="false" customHeight="false" outlineLevel="0" collapsed="false">
      <c r="A576" s="0" t="n">
        <v>574</v>
      </c>
      <c r="B576" s="0" t="n">
        <f aca="false">calc_cohort!D$2+constant!$B$1*A576</f>
        <v>79.0333333333333</v>
      </c>
      <c r="C576" s="0" t="n">
        <f aca="false">_xlfn.FLOOR.MATH(B576)</f>
        <v>79</v>
      </c>
      <c r="D576" s="4" t="n">
        <f aca="false">INDEX(table_mortality_rate!$A$1:$C$2000,MATCH(C576,table_mortality_rate!$A$1:$A$2000,0),MATCH(calc_cohort!$E$2,table_mortality_rate!A$1:C$1,0))</f>
        <v>0.062867</v>
      </c>
      <c r="E576" s="0" t="n">
        <f aca="false">(1-D576)^constant!$B$1</f>
        <v>0.994603773517127</v>
      </c>
      <c r="F576" s="0" t="n">
        <f aca="false">IF(A576=0,1,F575*E576)</f>
        <v>0.563572383067889</v>
      </c>
      <c r="G576" s="5" t="b">
        <f aca="false">B576&gt;=calc_cohort!C$2</f>
        <v>1</v>
      </c>
      <c r="H576" s="0" t="n">
        <f aca="false">IF(G576,1,0)</f>
        <v>1</v>
      </c>
      <c r="I576" s="0" t="n">
        <f aca="false">calc_cohort!$B$2*constant!$B$1*F576*H576</f>
        <v>0.579540267254812</v>
      </c>
      <c r="J576" s="0" t="n">
        <f aca="false">INDEX(table_spot_rate!B$1:B$2000,MATCH(A576,table_spot_rate!A$1:A$2000,0))</f>
        <v>0.0529705343245688</v>
      </c>
      <c r="K576" s="0" t="n">
        <f aca="false">(1+J576)^(-A576*constant!$B$1)</f>
        <v>0.0846754584459849</v>
      </c>
      <c r="L576" s="0" t="n">
        <f aca="false">K576*I576</f>
        <v>0.0490728378177098</v>
      </c>
    </row>
    <row r="577" customFormat="false" ht="12.8" hidden="false" customHeight="false" outlineLevel="0" collapsed="false">
      <c r="A577" s="0" t="n">
        <v>575</v>
      </c>
      <c r="B577" s="0" t="n">
        <f aca="false">calc_cohort!D$2+constant!$B$1*A577</f>
        <v>79.1166666666667</v>
      </c>
      <c r="C577" s="0" t="n">
        <f aca="false">_xlfn.FLOOR.MATH(B577)</f>
        <v>79</v>
      </c>
      <c r="D577" s="4" t="n">
        <f aca="false">INDEX(table_mortality_rate!$A$1:$C$2000,MATCH(C577,table_mortality_rate!$A$1:$A$2000,0),MATCH(calc_cohort!$E$2,table_mortality_rate!A$1:C$1,0))</f>
        <v>0.062867</v>
      </c>
      <c r="E577" s="0" t="n">
        <f aca="false">(1-D577)^constant!$B$1</f>
        <v>0.994603773517127</v>
      </c>
      <c r="F577" s="0" t="n">
        <f aca="false">IF(A577=0,1,F576*E577)</f>
        <v>0.560531218849362</v>
      </c>
      <c r="G577" s="5" t="b">
        <f aca="false">B577&gt;=calc_cohort!C$2</f>
        <v>1</v>
      </c>
      <c r="H577" s="0" t="n">
        <f aca="false">IF(G577,1,0)</f>
        <v>1</v>
      </c>
      <c r="I577" s="0" t="n">
        <f aca="false">calc_cohort!$B$2*constant!$B$1*F577*H577</f>
        <v>0.576412936716761</v>
      </c>
      <c r="J577" s="0" t="n">
        <f aca="false">INDEX(table_spot_rate!B$1:B$2000,MATCH(A577,table_spot_rate!A$1:A$2000,0))</f>
        <v>0.0549327589109631</v>
      </c>
      <c r="K577" s="0" t="n">
        <f aca="false">(1+J577)^(-A577*constant!$B$1)</f>
        <v>0.0771162707944567</v>
      </c>
      <c r="L577" s="0" t="n">
        <f aca="false">K577*I577</f>
        <v>0.0444508161172778</v>
      </c>
    </row>
    <row r="578" customFormat="false" ht="12.8" hidden="false" customHeight="false" outlineLevel="0" collapsed="false">
      <c r="A578" s="0" t="n">
        <v>576</v>
      </c>
      <c r="B578" s="0" t="n">
        <f aca="false">calc_cohort!D$2+constant!$B$1*A578</f>
        <v>79.2</v>
      </c>
      <c r="C578" s="0" t="n">
        <f aca="false">_xlfn.FLOOR.MATH(B578)</f>
        <v>79</v>
      </c>
      <c r="D578" s="4" t="n">
        <f aca="false">INDEX(table_mortality_rate!$A$1:$C$2000,MATCH(C578,table_mortality_rate!$A$1:$A$2000,0),MATCH(calc_cohort!$E$2,table_mortality_rate!A$1:C$1,0))</f>
        <v>0.062867</v>
      </c>
      <c r="E578" s="0" t="n">
        <f aca="false">(1-D578)^constant!$B$1</f>
        <v>0.994603773517127</v>
      </c>
      <c r="F578" s="0" t="n">
        <f aca="false">IF(A578=0,1,F577*E578)</f>
        <v>0.55750646544173</v>
      </c>
      <c r="G578" s="5" t="b">
        <f aca="false">B578&gt;=calc_cohort!C$2</f>
        <v>1</v>
      </c>
      <c r="H578" s="0" t="n">
        <f aca="false">IF(G578,1,0)</f>
        <v>1</v>
      </c>
      <c r="I578" s="0" t="n">
        <f aca="false">calc_cohort!$B$2*constant!$B$1*F578*H578</f>
        <v>0.573302481962579</v>
      </c>
      <c r="J578" s="0" t="n">
        <f aca="false">INDEX(table_spot_rate!B$1:B$2000,MATCH(A578,table_spot_rate!A$1:A$2000,0))</f>
        <v>0.0568381552463678</v>
      </c>
      <c r="K578" s="0" t="n">
        <f aca="false">(1+J578)^(-A578*constant!$B$1)</f>
        <v>0.0704032573260948</v>
      </c>
      <c r="L578" s="0" t="n">
        <f aca="false">K578*I578</f>
        <v>0.0403623621633003</v>
      </c>
    </row>
    <row r="579" customFormat="false" ht="12.8" hidden="false" customHeight="false" outlineLevel="0" collapsed="false">
      <c r="A579" s="0" t="n">
        <v>577</v>
      </c>
      <c r="B579" s="0" t="n">
        <f aca="false">calc_cohort!D$2+constant!$B$1*A579</f>
        <v>79.2833333333333</v>
      </c>
      <c r="C579" s="0" t="n">
        <f aca="false">_xlfn.FLOOR.MATH(B579)</f>
        <v>79</v>
      </c>
      <c r="D579" s="4" t="n">
        <f aca="false">INDEX(table_mortality_rate!$A$1:$C$2000,MATCH(C579,table_mortality_rate!$A$1:$A$2000,0),MATCH(calc_cohort!$E$2,table_mortality_rate!A$1:C$1,0))</f>
        <v>0.062867</v>
      </c>
      <c r="E579" s="0" t="n">
        <f aca="false">(1-D579)^constant!$B$1</f>
        <v>0.994603773517127</v>
      </c>
      <c r="F579" s="0" t="n">
        <f aca="false">IF(A579=0,1,F578*E579)</f>
        <v>0.554498034288541</v>
      </c>
      <c r="G579" s="5" t="b">
        <f aca="false">B579&gt;=calc_cohort!C$2</f>
        <v>1</v>
      </c>
      <c r="H579" s="0" t="n">
        <f aca="false">IF(G579,1,0)</f>
        <v>1</v>
      </c>
      <c r="I579" s="0" t="n">
        <f aca="false">calc_cohort!$B$2*constant!$B$1*F579*H579</f>
        <v>0.570208811926716</v>
      </c>
      <c r="J579" s="0" t="n">
        <f aca="false">INDEX(table_spot_rate!B$1:B$2000,MATCH(A579,table_spot_rate!A$1:A$2000,0))</f>
        <v>0.0589119702317736</v>
      </c>
      <c r="K579" s="0" t="n">
        <f aca="false">(1+J579)^(-A579*constant!$B$1)</f>
        <v>0.0637756912874342</v>
      </c>
      <c r="L579" s="0" t="n">
        <f aca="false">K579*I579</f>
        <v>0.0363654611588129</v>
      </c>
    </row>
    <row r="580" customFormat="false" ht="12.8" hidden="false" customHeight="false" outlineLevel="0" collapsed="false">
      <c r="A580" s="0" t="n">
        <v>578</v>
      </c>
      <c r="B580" s="0" t="n">
        <f aca="false">calc_cohort!D$2+constant!$B$1*A580</f>
        <v>79.3666666666667</v>
      </c>
      <c r="C580" s="0" t="n">
        <f aca="false">_xlfn.FLOOR.MATH(B580)</f>
        <v>79</v>
      </c>
      <c r="D580" s="4" t="n">
        <f aca="false">INDEX(table_mortality_rate!$A$1:$C$2000,MATCH(C580,table_mortality_rate!$A$1:$A$2000,0),MATCH(calc_cohort!$E$2,table_mortality_rate!A$1:C$1,0))</f>
        <v>0.062867</v>
      </c>
      <c r="E580" s="0" t="n">
        <f aca="false">(1-D580)^constant!$B$1</f>
        <v>0.994603773517127</v>
      </c>
      <c r="F580" s="0" t="n">
        <f aca="false">IF(A580=0,1,F579*E580)</f>
        <v>0.551505837311212</v>
      </c>
      <c r="G580" s="5" t="b">
        <f aca="false">B580&gt;=calc_cohort!C$2</f>
        <v>1</v>
      </c>
      <c r="H580" s="0" t="n">
        <f aca="false">IF(G580,1,0)</f>
        <v>1</v>
      </c>
      <c r="I580" s="0" t="n">
        <f aca="false">calc_cohort!$B$2*constant!$B$1*F580*H580</f>
        <v>0.56713183603503</v>
      </c>
      <c r="J580" s="0" t="n">
        <f aca="false">INDEX(table_spot_rate!B$1:B$2000,MATCH(A580,table_spot_rate!A$1:A$2000,0))</f>
        <v>0.0584232863874968</v>
      </c>
      <c r="K580" s="0" t="n">
        <f aca="false">(1+J580)^(-A580*constant!$B$1)</f>
        <v>0.0648992330436898</v>
      </c>
      <c r="L580" s="0" t="n">
        <f aca="false">K580*I580</f>
        <v>0.0368064211933331</v>
      </c>
    </row>
    <row r="581" customFormat="false" ht="12.8" hidden="false" customHeight="false" outlineLevel="0" collapsed="false">
      <c r="A581" s="0" t="n">
        <v>579</v>
      </c>
      <c r="B581" s="0" t="n">
        <f aca="false">calc_cohort!D$2+constant!$B$1*A581</f>
        <v>79.45</v>
      </c>
      <c r="C581" s="0" t="n">
        <f aca="false">_xlfn.FLOOR.MATH(B581)</f>
        <v>79</v>
      </c>
      <c r="D581" s="4" t="n">
        <f aca="false">INDEX(table_mortality_rate!$A$1:$C$2000,MATCH(C581,table_mortality_rate!$A$1:$A$2000,0),MATCH(calc_cohort!$E$2,table_mortality_rate!A$1:C$1,0))</f>
        <v>0.062867</v>
      </c>
      <c r="E581" s="0" t="n">
        <f aca="false">(1-D581)^constant!$B$1</f>
        <v>0.994603773517127</v>
      </c>
      <c r="F581" s="0" t="n">
        <f aca="false">IF(A581=0,1,F580*E581)</f>
        <v>0.548529786906455</v>
      </c>
      <c r="G581" s="5" t="b">
        <f aca="false">B581&gt;=calc_cohort!C$2</f>
        <v>1</v>
      </c>
      <c r="H581" s="0" t="n">
        <f aca="false">IF(G581,1,0)</f>
        <v>1</v>
      </c>
      <c r="I581" s="0" t="n">
        <f aca="false">calc_cohort!$B$2*constant!$B$1*F581*H581</f>
        <v>0.564071464202138</v>
      </c>
      <c r="J581" s="0" t="n">
        <f aca="false">INDEX(table_spot_rate!B$1:B$2000,MATCH(A581,table_spot_rate!A$1:A$2000,0))</f>
        <v>0.0587245297849557</v>
      </c>
      <c r="K581" s="0" t="n">
        <f aca="false">(1+J581)^(-A581*constant!$B$1)</f>
        <v>0.0637120288128069</v>
      </c>
      <c r="L581" s="0" t="n">
        <f aca="false">K581*I581</f>
        <v>0.0359381373797288</v>
      </c>
    </row>
    <row r="582" customFormat="false" ht="12.8" hidden="false" customHeight="false" outlineLevel="0" collapsed="false">
      <c r="A582" s="0" t="n">
        <v>580</v>
      </c>
      <c r="B582" s="0" t="n">
        <f aca="false">calc_cohort!D$2+constant!$B$1*A582</f>
        <v>79.5333333333333</v>
      </c>
      <c r="C582" s="0" t="n">
        <f aca="false">_xlfn.FLOOR.MATH(B582)</f>
        <v>79</v>
      </c>
      <c r="D582" s="4" t="n">
        <f aca="false">INDEX(table_mortality_rate!$A$1:$C$2000,MATCH(C582,table_mortality_rate!$A$1:$A$2000,0),MATCH(calc_cohort!$E$2,table_mortality_rate!A$1:C$1,0))</f>
        <v>0.062867</v>
      </c>
      <c r="E582" s="0" t="n">
        <f aca="false">(1-D582)^constant!$B$1</f>
        <v>0.994603773517127</v>
      </c>
      <c r="F582" s="0" t="n">
        <f aca="false">IF(A582=0,1,F581*E582)</f>
        <v>0.545569795943706</v>
      </c>
      <c r="G582" s="5" t="b">
        <f aca="false">B582&gt;=calc_cohort!C$2</f>
        <v>1</v>
      </c>
      <c r="H582" s="0" t="n">
        <f aca="false">IF(G582,1,0)</f>
        <v>1</v>
      </c>
      <c r="I582" s="0" t="n">
        <f aca="false">calc_cohort!$B$2*constant!$B$1*F582*H582</f>
        <v>0.561027606828777</v>
      </c>
      <c r="J582" s="0" t="n">
        <f aca="false">INDEX(table_spot_rate!B$1:B$2000,MATCH(A582,table_spot_rate!A$1:A$2000,0))</f>
        <v>0.0561851587276418</v>
      </c>
      <c r="K582" s="0" t="n">
        <f aca="false">(1+J582)^(-A582*constant!$B$1)</f>
        <v>0.0712137307503323</v>
      </c>
      <c r="L582" s="0" t="n">
        <f aca="false">K582*I582</f>
        <v>0.0399528689362078</v>
      </c>
    </row>
    <row r="583" customFormat="false" ht="12.8" hidden="false" customHeight="false" outlineLevel="0" collapsed="false">
      <c r="A583" s="0" t="n">
        <v>581</v>
      </c>
      <c r="B583" s="0" t="n">
        <f aca="false">calc_cohort!D$2+constant!$B$1*A583</f>
        <v>79.6166666666667</v>
      </c>
      <c r="C583" s="0" t="n">
        <f aca="false">_xlfn.FLOOR.MATH(B583)</f>
        <v>79</v>
      </c>
      <c r="D583" s="4" t="n">
        <f aca="false">INDEX(table_mortality_rate!$A$1:$C$2000,MATCH(C583,table_mortality_rate!$A$1:$A$2000,0),MATCH(calc_cohort!$E$2,table_mortality_rate!A$1:C$1,0))</f>
        <v>0.062867</v>
      </c>
      <c r="E583" s="0" t="n">
        <f aca="false">(1-D583)^constant!$B$1</f>
        <v>0.994603773517127</v>
      </c>
      <c r="F583" s="0" t="n">
        <f aca="false">IF(A583=0,1,F582*E583)</f>
        <v>0.542625777762579</v>
      </c>
      <c r="G583" s="5" t="b">
        <f aca="false">B583&gt;=calc_cohort!C$2</f>
        <v>1</v>
      </c>
      <c r="H583" s="0" t="n">
        <f aca="false">IF(G583,1,0)</f>
        <v>1</v>
      </c>
      <c r="I583" s="0" t="n">
        <f aca="false">calc_cohort!$B$2*constant!$B$1*F583*H583</f>
        <v>0.558000174799185</v>
      </c>
      <c r="J583" s="0" t="n">
        <f aca="false">INDEX(table_spot_rate!B$1:B$2000,MATCH(A583,table_spot_rate!A$1:A$2000,0))</f>
        <v>0.0571037607890802</v>
      </c>
      <c r="K583" s="0" t="n">
        <f aca="false">(1+J583)^(-A583*constant!$B$1)</f>
        <v>0.0679681319414874</v>
      </c>
      <c r="L583" s="0" t="n">
        <f aca="false">K583*I583</f>
        <v>0.0379262295041241</v>
      </c>
    </row>
    <row r="584" customFormat="false" ht="12.8" hidden="false" customHeight="false" outlineLevel="0" collapsed="false">
      <c r="A584" s="0" t="n">
        <v>582</v>
      </c>
      <c r="B584" s="0" t="n">
        <f aca="false">calc_cohort!D$2+constant!$B$1*A584</f>
        <v>79.7</v>
      </c>
      <c r="C584" s="0" t="n">
        <f aca="false">_xlfn.FLOOR.MATH(B584)</f>
        <v>79</v>
      </c>
      <c r="D584" s="4" t="n">
        <f aca="false">INDEX(table_mortality_rate!$A$1:$C$2000,MATCH(C584,table_mortality_rate!$A$1:$A$2000,0),MATCH(calc_cohort!$E$2,table_mortality_rate!A$1:C$1,0))</f>
        <v>0.062867</v>
      </c>
      <c r="E584" s="0" t="n">
        <f aca="false">(1-D584)^constant!$B$1</f>
        <v>0.994603773517127</v>
      </c>
      <c r="F584" s="0" t="n">
        <f aca="false">IF(A584=0,1,F583*E584)</f>
        <v>0.539697646170327</v>
      </c>
      <c r="G584" s="5" t="b">
        <f aca="false">B584&gt;=calc_cohort!C$2</f>
        <v>1</v>
      </c>
      <c r="H584" s="0" t="n">
        <f aca="false">IF(G584,1,0)</f>
        <v>1</v>
      </c>
      <c r="I584" s="0" t="n">
        <f aca="false">calc_cohort!$B$2*constant!$B$1*F584*H584</f>
        <v>0.554989079478486</v>
      </c>
      <c r="J584" s="0" t="n">
        <f aca="false">INDEX(table_spot_rate!B$1:B$2000,MATCH(A584,table_spot_rate!A$1:A$2000,0))</f>
        <v>0.053964659401439</v>
      </c>
      <c r="K584" s="0" t="n">
        <f aca="false">(1+J584)^(-A584*constant!$B$1)</f>
        <v>0.0781513772192837</v>
      </c>
      <c r="L584" s="0" t="n">
        <f aca="false">K584*I584</f>
        <v>0.0433731609029062</v>
      </c>
    </row>
    <row r="585" customFormat="false" ht="12.8" hidden="false" customHeight="false" outlineLevel="0" collapsed="false">
      <c r="A585" s="0" t="n">
        <v>583</v>
      </c>
      <c r="B585" s="0" t="n">
        <f aca="false">calc_cohort!D$2+constant!$B$1*A585</f>
        <v>79.7833333333333</v>
      </c>
      <c r="C585" s="0" t="n">
        <f aca="false">_xlfn.FLOOR.MATH(B585)</f>
        <v>79</v>
      </c>
      <c r="D585" s="4" t="n">
        <f aca="false">INDEX(table_mortality_rate!$A$1:$C$2000,MATCH(C585,table_mortality_rate!$A$1:$A$2000,0),MATCH(calc_cohort!$E$2,table_mortality_rate!A$1:C$1,0))</f>
        <v>0.062867</v>
      </c>
      <c r="E585" s="0" t="n">
        <f aca="false">(1-D585)^constant!$B$1</f>
        <v>0.994603773517127</v>
      </c>
      <c r="F585" s="0" t="n">
        <f aca="false">IF(A585=0,1,F584*E585)</f>
        <v>0.536785315439319</v>
      </c>
      <c r="G585" s="5" t="b">
        <f aca="false">B585&gt;=calc_cohort!C$2</f>
        <v>1</v>
      </c>
      <c r="H585" s="0" t="n">
        <f aca="false">IF(G585,1,0)</f>
        <v>1</v>
      </c>
      <c r="I585" s="0" t="n">
        <f aca="false">calc_cohort!$B$2*constant!$B$1*F585*H585</f>
        <v>0.551994232710099</v>
      </c>
      <c r="J585" s="0" t="n">
        <f aca="false">INDEX(table_spot_rate!B$1:B$2000,MATCH(A585,table_spot_rate!A$1:A$2000,0))</f>
        <v>0.0525203600913972</v>
      </c>
      <c r="K585" s="0" t="n">
        <f aca="false">(1+J585)^(-A585*constant!$B$1)</f>
        <v>0.0831702361135418</v>
      </c>
      <c r="L585" s="0" t="n">
        <f aca="false">K585*I585</f>
        <v>0.0459094906678123</v>
      </c>
    </row>
    <row r="586" customFormat="false" ht="12.8" hidden="false" customHeight="false" outlineLevel="0" collapsed="false">
      <c r="A586" s="0" t="n">
        <v>584</v>
      </c>
      <c r="B586" s="0" t="n">
        <f aca="false">calc_cohort!D$2+constant!$B$1*A586</f>
        <v>79.8666666666667</v>
      </c>
      <c r="C586" s="0" t="n">
        <f aca="false">_xlfn.FLOOR.MATH(B586)</f>
        <v>79</v>
      </c>
      <c r="D586" s="4" t="n">
        <f aca="false">INDEX(table_mortality_rate!$A$1:$C$2000,MATCH(C586,table_mortality_rate!$A$1:$A$2000,0),MATCH(calc_cohort!$E$2,table_mortality_rate!A$1:C$1,0))</f>
        <v>0.062867</v>
      </c>
      <c r="E586" s="0" t="n">
        <f aca="false">(1-D586)^constant!$B$1</f>
        <v>0.994603773517127</v>
      </c>
      <c r="F586" s="0" t="n">
        <f aca="false">IF(A586=0,1,F585*E586)</f>
        <v>0.533888700304528</v>
      </c>
      <c r="G586" s="5" t="b">
        <f aca="false">B586&gt;=calc_cohort!C$2</f>
        <v>1</v>
      </c>
      <c r="H586" s="0" t="n">
        <f aca="false">IF(G586,1,0)</f>
        <v>1</v>
      </c>
      <c r="I586" s="0" t="n">
        <f aca="false">calc_cohort!$B$2*constant!$B$1*F586*H586</f>
        <v>0.549015546813156</v>
      </c>
      <c r="J586" s="0" t="n">
        <f aca="false">INDEX(table_spot_rate!B$1:B$2000,MATCH(A586,table_spot_rate!A$1:A$2000,0))</f>
        <v>0.053070692794619</v>
      </c>
      <c r="K586" s="0" t="n">
        <f aca="false">(1+J586)^(-A586*constant!$B$1)</f>
        <v>0.0807359663161469</v>
      </c>
      <c r="L586" s="0" t="n">
        <f aca="false">K586*I586</f>
        <v>0.0443253006945479</v>
      </c>
    </row>
    <row r="587" customFormat="false" ht="12.8" hidden="false" customHeight="false" outlineLevel="0" collapsed="false">
      <c r="A587" s="0" t="n">
        <v>585</v>
      </c>
      <c r="B587" s="0" t="n">
        <f aca="false">calc_cohort!D$2+constant!$B$1*A587</f>
        <v>79.95</v>
      </c>
      <c r="C587" s="0" t="n">
        <f aca="false">_xlfn.FLOOR.MATH(B587)</f>
        <v>79</v>
      </c>
      <c r="D587" s="4" t="n">
        <f aca="false">INDEX(table_mortality_rate!$A$1:$C$2000,MATCH(C587,table_mortality_rate!$A$1:$A$2000,0),MATCH(calc_cohort!$E$2,table_mortality_rate!A$1:C$1,0))</f>
        <v>0.062867</v>
      </c>
      <c r="E587" s="0" t="n">
        <f aca="false">(1-D587)^constant!$B$1</f>
        <v>0.994603773517127</v>
      </c>
      <c r="F587" s="0" t="n">
        <f aca="false">IF(A587=0,1,F586*E587)</f>
        <v>0.531007715961038</v>
      </c>
      <c r="G587" s="5" t="b">
        <f aca="false">B587&gt;=calc_cohort!C$2</f>
        <v>1</v>
      </c>
      <c r="H587" s="0" t="n">
        <f aca="false">IF(G587,1,0)</f>
        <v>1</v>
      </c>
      <c r="I587" s="0" t="n">
        <f aca="false">calc_cohort!$B$2*constant!$B$1*F587*H587</f>
        <v>0.546052934579934</v>
      </c>
      <c r="J587" s="0" t="n">
        <f aca="false">INDEX(table_spot_rate!B$1:B$2000,MATCH(A587,table_spot_rate!A$1:A$2000,0))</f>
        <v>0.0561288164021181</v>
      </c>
      <c r="K587" s="0" t="n">
        <f aca="false">(1+J587)^(-A587*constant!$B$1)</f>
        <v>0.0697913327300683</v>
      </c>
      <c r="L587" s="0" t="n">
        <f aca="false">K587*I587</f>
        <v>0.0381097620454984</v>
      </c>
    </row>
    <row r="588" customFormat="false" ht="12.8" hidden="false" customHeight="false" outlineLevel="0" collapsed="false">
      <c r="A588" s="0" t="n">
        <v>586</v>
      </c>
      <c r="B588" s="0" t="n">
        <f aca="false">calc_cohort!D$2+constant!$B$1*A588</f>
        <v>80.0333333333333</v>
      </c>
      <c r="C588" s="0" t="n">
        <f aca="false">_xlfn.FLOOR.MATH(B588)</f>
        <v>80</v>
      </c>
      <c r="D588" s="4" t="n">
        <f aca="false">INDEX(table_mortality_rate!$A$1:$C$2000,MATCH(C588,table_mortality_rate!$A$1:$A$2000,0),MATCH(calc_cohort!$E$2,table_mortality_rate!A$1:C$1,0))</f>
        <v>0.069303</v>
      </c>
      <c r="E588" s="0" t="n">
        <f aca="false">(1-D588)^constant!$B$1</f>
        <v>0.994032749255353</v>
      </c>
      <c r="F588" s="0" t="n">
        <f aca="false">IF(A588=0,1,F587*E588)</f>
        <v>0.527839059772556</v>
      </c>
      <c r="G588" s="5" t="b">
        <f aca="false">B588&gt;=calc_cohort!C$2</f>
        <v>1</v>
      </c>
      <c r="H588" s="0" t="n">
        <f aca="false">IF(G588,1,0)</f>
        <v>1</v>
      </c>
      <c r="I588" s="0" t="n">
        <f aca="false">calc_cohort!$B$2*constant!$B$1*F588*H588</f>
        <v>0.542794499799445</v>
      </c>
      <c r="J588" s="0" t="n">
        <f aca="false">INDEX(table_spot_rate!B$1:B$2000,MATCH(A588,table_spot_rate!A$1:A$2000,0))</f>
        <v>0.051459594674933</v>
      </c>
      <c r="K588" s="0" t="n">
        <f aca="false">(1+J588)^(-A588*constant!$B$1)</f>
        <v>0.0862571826997592</v>
      </c>
      <c r="L588" s="0" t="n">
        <f aca="false">K588*I588</f>
        <v>0.0468199243376252</v>
      </c>
    </row>
    <row r="589" customFormat="false" ht="12.8" hidden="false" customHeight="false" outlineLevel="0" collapsed="false">
      <c r="A589" s="0" t="n">
        <v>587</v>
      </c>
      <c r="B589" s="0" t="n">
        <f aca="false">calc_cohort!D$2+constant!$B$1*A589</f>
        <v>80.1166666666667</v>
      </c>
      <c r="C589" s="0" t="n">
        <f aca="false">_xlfn.FLOOR.MATH(B589)</f>
        <v>80</v>
      </c>
      <c r="D589" s="4" t="n">
        <f aca="false">INDEX(table_mortality_rate!$A$1:$C$2000,MATCH(C589,table_mortality_rate!$A$1:$A$2000,0),MATCH(calc_cohort!$E$2,table_mortality_rate!A$1:C$1,0))</f>
        <v>0.069303</v>
      </c>
      <c r="E589" s="0" t="n">
        <f aca="false">(1-D589)^constant!$B$1</f>
        <v>0.994032749255353</v>
      </c>
      <c r="F589" s="0" t="n">
        <f aca="false">IF(A589=0,1,F588*E589)</f>
        <v>0.524689311750075</v>
      </c>
      <c r="G589" s="5" t="b">
        <f aca="false">B589&gt;=calc_cohort!C$2</f>
        <v>1</v>
      </c>
      <c r="H589" s="0" t="n">
        <f aca="false">IF(G589,1,0)</f>
        <v>1</v>
      </c>
      <c r="I589" s="0" t="n">
        <f aca="false">calc_cohort!$B$2*constant!$B$1*F589*H589</f>
        <v>0.539555508916327</v>
      </c>
      <c r="J589" s="0" t="n">
        <f aca="false">INDEX(table_spot_rate!B$1:B$2000,MATCH(A589,table_spot_rate!A$1:A$2000,0))</f>
        <v>0.0589615405298287</v>
      </c>
      <c r="K589" s="0" t="n">
        <f aca="false">(1+J589)^(-A589*constant!$B$1)</f>
        <v>0.060665831486666</v>
      </c>
      <c r="L589" s="0" t="n">
        <f aca="false">K589*I589</f>
        <v>0.0327325835816202</v>
      </c>
    </row>
    <row r="590" customFormat="false" ht="12.8" hidden="false" customHeight="false" outlineLevel="0" collapsed="false">
      <c r="A590" s="0" t="n">
        <v>588</v>
      </c>
      <c r="B590" s="0" t="n">
        <f aca="false">calc_cohort!D$2+constant!$B$1*A590</f>
        <v>80.2</v>
      </c>
      <c r="C590" s="0" t="n">
        <f aca="false">_xlfn.FLOOR.MATH(B590)</f>
        <v>80</v>
      </c>
      <c r="D590" s="4" t="n">
        <f aca="false">INDEX(table_mortality_rate!$A$1:$C$2000,MATCH(C590,table_mortality_rate!$A$1:$A$2000,0),MATCH(calc_cohort!$E$2,table_mortality_rate!A$1:C$1,0))</f>
        <v>0.069303</v>
      </c>
      <c r="E590" s="0" t="n">
        <f aca="false">(1-D590)^constant!$B$1</f>
        <v>0.994032749255353</v>
      </c>
      <c r="F590" s="0" t="n">
        <f aca="false">IF(A590=0,1,F589*E590)</f>
        <v>0.521558359063826</v>
      </c>
      <c r="G590" s="5" t="b">
        <f aca="false">B590&gt;=calc_cohort!C$2</f>
        <v>1</v>
      </c>
      <c r="H590" s="0" t="n">
        <f aca="false">IF(G590,1,0)</f>
        <v>1</v>
      </c>
      <c r="I590" s="0" t="n">
        <f aca="false">calc_cohort!$B$2*constant!$B$1*F590*H590</f>
        <v>0.536335845903967</v>
      </c>
      <c r="J590" s="0" t="n">
        <f aca="false">INDEX(table_spot_rate!B$1:B$2000,MATCH(A590,table_spot_rate!A$1:A$2000,0))</f>
        <v>0.0531442488160877</v>
      </c>
      <c r="K590" s="0" t="n">
        <f aca="false">(1+J590)^(-A590*constant!$B$1)</f>
        <v>0.0790851311080222</v>
      </c>
      <c r="L590" s="0" t="n">
        <f aca="false">K590*I590</f>
        <v>0.0424161906912472</v>
      </c>
    </row>
    <row r="591" customFormat="false" ht="12.8" hidden="false" customHeight="false" outlineLevel="0" collapsed="false">
      <c r="A591" s="0" t="n">
        <v>589</v>
      </c>
      <c r="B591" s="0" t="n">
        <f aca="false">calc_cohort!D$2+constant!$B$1*A591</f>
        <v>80.2833333333333</v>
      </c>
      <c r="C591" s="0" t="n">
        <f aca="false">_xlfn.FLOOR.MATH(B591)</f>
        <v>80</v>
      </c>
      <c r="D591" s="4" t="n">
        <f aca="false">INDEX(table_mortality_rate!$A$1:$C$2000,MATCH(C591,table_mortality_rate!$A$1:$A$2000,0),MATCH(calc_cohort!$E$2,table_mortality_rate!A$1:C$1,0))</f>
        <v>0.069303</v>
      </c>
      <c r="E591" s="0" t="n">
        <f aca="false">(1-D591)^constant!$B$1</f>
        <v>0.994032749255353</v>
      </c>
      <c r="F591" s="0" t="n">
        <f aca="false">IF(A591=0,1,F590*E591)</f>
        <v>0.518446089557325</v>
      </c>
      <c r="G591" s="5" t="b">
        <f aca="false">B591&gt;=calc_cohort!C$2</f>
        <v>1</v>
      </c>
      <c r="H591" s="0" t="n">
        <f aca="false">IF(G591,1,0)</f>
        <v>1</v>
      </c>
      <c r="I591" s="0" t="n">
        <f aca="false">calc_cohort!$B$2*constant!$B$1*F591*H591</f>
        <v>0.533135395428116</v>
      </c>
      <c r="J591" s="0" t="n">
        <f aca="false">INDEX(table_spot_rate!B$1:B$2000,MATCH(A591,table_spot_rate!A$1:A$2000,0))</f>
        <v>0.0552537922315516</v>
      </c>
      <c r="K591" s="0" t="n">
        <f aca="false">(1+J591)^(-A591*constant!$B$1)</f>
        <v>0.071378009781552</v>
      </c>
      <c r="L591" s="0" t="n">
        <f aca="false">K591*I591</f>
        <v>0.0380541434697596</v>
      </c>
    </row>
    <row r="592" customFormat="false" ht="12.8" hidden="false" customHeight="false" outlineLevel="0" collapsed="false">
      <c r="A592" s="0" t="n">
        <v>590</v>
      </c>
      <c r="B592" s="0" t="n">
        <f aca="false">calc_cohort!D$2+constant!$B$1*A592</f>
        <v>80.3666666666667</v>
      </c>
      <c r="C592" s="0" t="n">
        <f aca="false">_xlfn.FLOOR.MATH(B592)</f>
        <v>80</v>
      </c>
      <c r="D592" s="4" t="n">
        <f aca="false">INDEX(table_mortality_rate!$A$1:$C$2000,MATCH(C592,table_mortality_rate!$A$1:$A$2000,0),MATCH(calc_cohort!$E$2,table_mortality_rate!A$1:C$1,0))</f>
        <v>0.069303</v>
      </c>
      <c r="E592" s="0" t="n">
        <f aca="false">(1-D592)^constant!$B$1</f>
        <v>0.994032749255353</v>
      </c>
      <c r="F592" s="0" t="n">
        <f aca="false">IF(A592=0,1,F591*E592)</f>
        <v>0.515352391743355</v>
      </c>
      <c r="G592" s="5" t="b">
        <f aca="false">B592&gt;=calc_cohort!C$2</f>
        <v>1</v>
      </c>
      <c r="H592" s="0" t="n">
        <f aca="false">IF(G592,1,0)</f>
        <v>1</v>
      </c>
      <c r="I592" s="0" t="n">
        <f aca="false">calc_cohort!$B$2*constant!$B$1*F592*H592</f>
        <v>0.52995404284275</v>
      </c>
      <c r="J592" s="0" t="n">
        <f aca="false">INDEX(table_spot_rate!B$1:B$2000,MATCH(A592,table_spot_rate!A$1:A$2000,0))</f>
        <v>0.0570985625849348</v>
      </c>
      <c r="K592" s="0" t="n">
        <f aca="false">(1+J592)^(-A592*constant!$B$1)</f>
        <v>0.0652111893294828</v>
      </c>
      <c r="L592" s="0" t="n">
        <f aca="false">K592*I592</f>
        <v>0.0345589334237434</v>
      </c>
    </row>
    <row r="593" customFormat="false" ht="12.8" hidden="false" customHeight="false" outlineLevel="0" collapsed="false">
      <c r="A593" s="0" t="n">
        <v>591</v>
      </c>
      <c r="B593" s="0" t="n">
        <f aca="false">calc_cohort!D$2+constant!$B$1*A593</f>
        <v>80.45</v>
      </c>
      <c r="C593" s="0" t="n">
        <f aca="false">_xlfn.FLOOR.MATH(B593)</f>
        <v>80</v>
      </c>
      <c r="D593" s="4" t="n">
        <f aca="false">INDEX(table_mortality_rate!$A$1:$C$2000,MATCH(C593,table_mortality_rate!$A$1:$A$2000,0),MATCH(calc_cohort!$E$2,table_mortality_rate!A$1:C$1,0))</f>
        <v>0.069303</v>
      </c>
      <c r="E593" s="0" t="n">
        <f aca="false">(1-D593)^constant!$B$1</f>
        <v>0.994032749255353</v>
      </c>
      <c r="F593" s="0" t="n">
        <f aca="false">IF(A593=0,1,F592*E593)</f>
        <v>0.512277154799969</v>
      </c>
      <c r="G593" s="5" t="b">
        <f aca="false">B593&gt;=calc_cohort!C$2</f>
        <v>1</v>
      </c>
      <c r="H593" s="0" t="n">
        <f aca="false">IF(G593,1,0)</f>
        <v>1</v>
      </c>
      <c r="I593" s="0" t="n">
        <f aca="false">calc_cohort!$B$2*constant!$B$1*F593*H593</f>
        <v>0.526791674185968</v>
      </c>
      <c r="J593" s="0" t="n">
        <f aca="false">INDEX(table_spot_rate!B$1:B$2000,MATCH(A593,table_spot_rate!A$1:A$2000,0))</f>
        <v>0.055863575686591</v>
      </c>
      <c r="K593" s="0" t="n">
        <f aca="false">(1+J593)^(-A593*constant!$B$1)</f>
        <v>0.0687567667416371</v>
      </c>
      <c r="L593" s="0" t="n">
        <f aca="false">K593*I593</f>
        <v>0.0362204922634411</v>
      </c>
    </row>
    <row r="594" customFormat="false" ht="12.8" hidden="false" customHeight="false" outlineLevel="0" collapsed="false">
      <c r="A594" s="0" t="n">
        <v>592</v>
      </c>
      <c r="B594" s="0" t="n">
        <f aca="false">calc_cohort!D$2+constant!$B$1*A594</f>
        <v>80.5333333333333</v>
      </c>
      <c r="C594" s="0" t="n">
        <f aca="false">_xlfn.FLOOR.MATH(B594)</f>
        <v>80</v>
      </c>
      <c r="D594" s="4" t="n">
        <f aca="false">INDEX(table_mortality_rate!$A$1:$C$2000,MATCH(C594,table_mortality_rate!$A$1:$A$2000,0),MATCH(calc_cohort!$E$2,table_mortality_rate!A$1:C$1,0))</f>
        <v>0.069303</v>
      </c>
      <c r="E594" s="0" t="n">
        <f aca="false">(1-D594)^constant!$B$1</f>
        <v>0.994032749255353</v>
      </c>
      <c r="F594" s="0" t="n">
        <f aca="false">IF(A594=0,1,F593*E594)</f>
        <v>0.509220268566523</v>
      </c>
      <c r="G594" s="5" t="b">
        <f aca="false">B594&gt;=calc_cohort!C$2</f>
        <v>1</v>
      </c>
      <c r="H594" s="0" t="n">
        <f aca="false">IF(G594,1,0)</f>
        <v>1</v>
      </c>
      <c r="I594" s="0" t="n">
        <f aca="false">calc_cohort!$B$2*constant!$B$1*F594*H594</f>
        <v>0.523648176175908</v>
      </c>
      <c r="J594" s="0" t="n">
        <f aca="false">INDEX(table_spot_rate!B$1:B$2000,MATCH(A594,table_spot_rate!A$1:A$2000,0))</f>
        <v>0.0524500108085198</v>
      </c>
      <c r="K594" s="0" t="n">
        <f aca="false">(1+J594)^(-A594*constant!$B$1)</f>
        <v>0.0803021436908204</v>
      </c>
      <c r="L594" s="0" t="n">
        <f aca="false">K594*I594</f>
        <v>0.0420500710867138</v>
      </c>
    </row>
    <row r="595" customFormat="false" ht="12.8" hidden="false" customHeight="false" outlineLevel="0" collapsed="false">
      <c r="A595" s="0" t="n">
        <v>593</v>
      </c>
      <c r="B595" s="0" t="n">
        <f aca="false">calc_cohort!D$2+constant!$B$1*A595</f>
        <v>80.6166666666667</v>
      </c>
      <c r="C595" s="0" t="n">
        <f aca="false">_xlfn.FLOOR.MATH(B595)</f>
        <v>80</v>
      </c>
      <c r="D595" s="4" t="n">
        <f aca="false">INDEX(table_mortality_rate!$A$1:$C$2000,MATCH(C595,table_mortality_rate!$A$1:$A$2000,0),MATCH(calc_cohort!$E$2,table_mortality_rate!A$1:C$1,0))</f>
        <v>0.069303</v>
      </c>
      <c r="E595" s="0" t="n">
        <f aca="false">(1-D595)^constant!$B$1</f>
        <v>0.994032749255353</v>
      </c>
      <c r="F595" s="0" t="n">
        <f aca="false">IF(A595=0,1,F594*E595)</f>
        <v>0.50618162353973</v>
      </c>
      <c r="G595" s="5" t="b">
        <f aca="false">B595&gt;=calc_cohort!C$2</f>
        <v>1</v>
      </c>
      <c r="H595" s="0" t="n">
        <f aca="false">IF(G595,1,0)</f>
        <v>1</v>
      </c>
      <c r="I595" s="0" t="n">
        <f aca="false">calc_cohort!$B$2*constant!$B$1*F595*H595</f>
        <v>0.520523436206689</v>
      </c>
      <c r="J595" s="0" t="n">
        <f aca="false">INDEX(table_spot_rate!B$1:B$2000,MATCH(A595,table_spot_rate!A$1:A$2000,0))</f>
        <v>0.0587358844104318</v>
      </c>
      <c r="K595" s="0" t="n">
        <f aca="false">(1+J595)^(-A595*constant!$B$1)</f>
        <v>0.059576885412141</v>
      </c>
      <c r="L595" s="0" t="n">
        <f aca="false">K595*I595</f>
        <v>0.0310111651132198</v>
      </c>
    </row>
    <row r="596" customFormat="false" ht="12.8" hidden="false" customHeight="false" outlineLevel="0" collapsed="false">
      <c r="A596" s="0" t="n">
        <v>594</v>
      </c>
      <c r="B596" s="0" t="n">
        <f aca="false">calc_cohort!D$2+constant!$B$1*A596</f>
        <v>80.7</v>
      </c>
      <c r="C596" s="0" t="n">
        <f aca="false">_xlfn.FLOOR.MATH(B596)</f>
        <v>80</v>
      </c>
      <c r="D596" s="4" t="n">
        <f aca="false">INDEX(table_mortality_rate!$A$1:$C$2000,MATCH(C596,table_mortality_rate!$A$1:$A$2000,0),MATCH(calc_cohort!$E$2,table_mortality_rate!A$1:C$1,0))</f>
        <v>0.069303</v>
      </c>
      <c r="E596" s="0" t="n">
        <f aca="false">(1-D596)^constant!$B$1</f>
        <v>0.994032749255353</v>
      </c>
      <c r="F596" s="0" t="n">
        <f aca="false">IF(A596=0,1,F595*E596)</f>
        <v>0.503161110869736</v>
      </c>
      <c r="G596" s="5" t="b">
        <f aca="false">B596&gt;=calc_cohort!C$2</f>
        <v>1</v>
      </c>
      <c r="H596" s="0" t="n">
        <f aca="false">IF(G596,1,0)</f>
        <v>1</v>
      </c>
      <c r="I596" s="0" t="n">
        <f aca="false">calc_cohort!$B$2*constant!$B$1*F596*H596</f>
        <v>0.517417342344378</v>
      </c>
      <c r="J596" s="0" t="n">
        <f aca="false">INDEX(table_spot_rate!B$1:B$2000,MATCH(A596,table_spot_rate!A$1:A$2000,0))</f>
        <v>0.0530252177715978</v>
      </c>
      <c r="K596" s="0" t="n">
        <f aca="false">(1+J596)^(-A596*constant!$B$1)</f>
        <v>0.0774962696272727</v>
      </c>
      <c r="L596" s="0" t="n">
        <f aca="false">K596*I596</f>
        <v>0.0400979138721468</v>
      </c>
    </row>
    <row r="597" customFormat="false" ht="12.8" hidden="false" customHeight="false" outlineLevel="0" collapsed="false">
      <c r="A597" s="0" t="n">
        <v>595</v>
      </c>
      <c r="B597" s="0" t="n">
        <f aca="false">calc_cohort!D$2+constant!$B$1*A597</f>
        <v>80.7833333333333</v>
      </c>
      <c r="C597" s="0" t="n">
        <f aca="false">_xlfn.FLOOR.MATH(B597)</f>
        <v>80</v>
      </c>
      <c r="D597" s="4" t="n">
        <f aca="false">INDEX(table_mortality_rate!$A$1:$C$2000,MATCH(C597,table_mortality_rate!$A$1:$A$2000,0),MATCH(calc_cohort!$E$2,table_mortality_rate!A$1:C$1,0))</f>
        <v>0.069303</v>
      </c>
      <c r="E597" s="0" t="n">
        <f aca="false">(1-D597)^constant!$B$1</f>
        <v>0.994032749255353</v>
      </c>
      <c r="F597" s="0" t="n">
        <f aca="false">IF(A597=0,1,F596*E597)</f>
        <v>0.500158622356221</v>
      </c>
      <c r="G597" s="5" t="b">
        <f aca="false">B597&gt;=calc_cohort!C$2</f>
        <v>1</v>
      </c>
      <c r="H597" s="0" t="n">
        <f aca="false">IF(G597,1,0)</f>
        <v>1</v>
      </c>
      <c r="I597" s="0" t="n">
        <f aca="false">calc_cohort!$B$2*constant!$B$1*F597*H597</f>
        <v>0.514329783322981</v>
      </c>
      <c r="J597" s="0" t="n">
        <f aca="false">INDEX(table_spot_rate!B$1:B$2000,MATCH(A597,table_spot_rate!A$1:A$2000,0))</f>
        <v>0.0518435891992156</v>
      </c>
      <c r="K597" s="0" t="n">
        <f aca="false">(1+J597)^(-A597*constant!$B$1)</f>
        <v>0.0815808265738103</v>
      </c>
      <c r="L597" s="0" t="n">
        <f aca="false">K597*I597</f>
        <v>0.0419594488550175</v>
      </c>
    </row>
    <row r="598" customFormat="false" ht="12.8" hidden="false" customHeight="false" outlineLevel="0" collapsed="false">
      <c r="A598" s="0" t="n">
        <v>596</v>
      </c>
      <c r="B598" s="0" t="n">
        <f aca="false">calc_cohort!D$2+constant!$B$1*A598</f>
        <v>80.8666666666667</v>
      </c>
      <c r="C598" s="0" t="n">
        <f aca="false">_xlfn.FLOOR.MATH(B598)</f>
        <v>80</v>
      </c>
      <c r="D598" s="4" t="n">
        <f aca="false">INDEX(table_mortality_rate!$A$1:$C$2000,MATCH(C598,table_mortality_rate!$A$1:$A$2000,0),MATCH(calc_cohort!$E$2,table_mortality_rate!A$1:C$1,0))</f>
        <v>0.069303</v>
      </c>
      <c r="E598" s="0" t="n">
        <f aca="false">(1-D598)^constant!$B$1</f>
        <v>0.994032749255353</v>
      </c>
      <c r="F598" s="0" t="n">
        <f aca="false">IF(A598=0,1,F597*E598)</f>
        <v>0.497174050444524</v>
      </c>
      <c r="G598" s="5" t="b">
        <f aca="false">B598&gt;=calc_cohort!C$2</f>
        <v>1</v>
      </c>
      <c r="H598" s="0" t="n">
        <f aca="false">IF(G598,1,0)</f>
        <v>1</v>
      </c>
      <c r="I598" s="0" t="n">
        <f aca="false">calc_cohort!$B$2*constant!$B$1*F598*H598</f>
        <v>0.511260648540453</v>
      </c>
      <c r="J598" s="0" t="n">
        <f aca="false">INDEX(table_spot_rate!B$1:B$2000,MATCH(A598,table_spot_rate!A$1:A$2000,0))</f>
        <v>0.050438897022585</v>
      </c>
      <c r="K598" s="0" t="n">
        <f aca="false">(1+J598)^(-A598*constant!$B$1)</f>
        <v>0.0868128168604715</v>
      </c>
      <c r="L598" s="0" t="n">
        <f aca="false">K598*I598</f>
        <v>0.0443839770497082</v>
      </c>
    </row>
    <row r="599" customFormat="false" ht="12.8" hidden="false" customHeight="false" outlineLevel="0" collapsed="false">
      <c r="A599" s="0" t="n">
        <v>597</v>
      </c>
      <c r="B599" s="0" t="n">
        <f aca="false">calc_cohort!D$2+constant!$B$1*A599</f>
        <v>80.95</v>
      </c>
      <c r="C599" s="0" t="n">
        <f aca="false">_xlfn.FLOOR.MATH(B599)</f>
        <v>80</v>
      </c>
      <c r="D599" s="4" t="n">
        <f aca="false">INDEX(table_mortality_rate!$A$1:$C$2000,MATCH(C599,table_mortality_rate!$A$1:$A$2000,0),MATCH(calc_cohort!$E$2,table_mortality_rate!A$1:C$1,0))</f>
        <v>0.069303</v>
      </c>
      <c r="E599" s="0" t="n">
        <f aca="false">(1-D599)^constant!$B$1</f>
        <v>0.994032749255353</v>
      </c>
      <c r="F599" s="0" t="n">
        <f aca="false">IF(A599=0,1,F598*E599)</f>
        <v>0.49420728822179</v>
      </c>
      <c r="G599" s="5" t="b">
        <f aca="false">B599&gt;=calc_cohort!C$2</f>
        <v>1</v>
      </c>
      <c r="H599" s="0" t="n">
        <f aca="false">IF(G599,1,0)</f>
        <v>1</v>
      </c>
      <c r="I599" s="0" t="n">
        <f aca="false">calc_cohort!$B$2*constant!$B$1*F599*H599</f>
        <v>0.508209828054741</v>
      </c>
      <c r="J599" s="0" t="n">
        <f aca="false">INDEX(table_spot_rate!B$1:B$2000,MATCH(A599,table_spot_rate!A$1:A$2000,0))</f>
        <v>0.0526799646078646</v>
      </c>
      <c r="K599" s="0" t="n">
        <f aca="false">(1+J599)^(-A599*constant!$B$1)</f>
        <v>0.0777599959819143</v>
      </c>
      <c r="L599" s="0" t="n">
        <f aca="false">K599*I599</f>
        <v>0.039518394187506</v>
      </c>
    </row>
    <row r="600" customFormat="false" ht="12.8" hidden="false" customHeight="false" outlineLevel="0" collapsed="false">
      <c r="A600" s="0" t="n">
        <v>598</v>
      </c>
      <c r="B600" s="0" t="n">
        <f aca="false">calc_cohort!D$2+constant!$B$1*A600</f>
        <v>81.0333333333333</v>
      </c>
      <c r="C600" s="0" t="n">
        <f aca="false">_xlfn.FLOOR.MATH(B600)</f>
        <v>81</v>
      </c>
      <c r="D600" s="4" t="n">
        <f aca="false">INDEX(table_mortality_rate!$A$1:$C$2000,MATCH(C600,table_mortality_rate!$A$1:$A$2000,0),MATCH(calc_cohort!$E$2,table_mortality_rate!A$1:C$1,0))</f>
        <v>0.0763</v>
      </c>
      <c r="E600" s="0" t="n">
        <f aca="false">(1-D600)^constant!$B$1</f>
        <v>0.993407829705267</v>
      </c>
      <c r="F600" s="0" t="n">
        <f aca="false">IF(A600=0,1,F599*E600)</f>
        <v>0.490949389616934</v>
      </c>
      <c r="G600" s="5" t="b">
        <f aca="false">B600&gt;=calc_cohort!C$2</f>
        <v>1</v>
      </c>
      <c r="H600" s="0" t="n">
        <f aca="false">IF(G600,1,0)</f>
        <v>1</v>
      </c>
      <c r="I600" s="0" t="n">
        <f aca="false">calc_cohort!$B$2*constant!$B$1*F600*H600</f>
        <v>0.504859622322747</v>
      </c>
      <c r="J600" s="0" t="n">
        <f aca="false">INDEX(table_spot_rate!B$1:B$2000,MATCH(A600,table_spot_rate!A$1:A$2000,0))</f>
        <v>0.0559266112506479</v>
      </c>
      <c r="K600" s="0" t="n">
        <f aca="false">(1+J600)^(-A600*constant!$B$1)</f>
        <v>0.0664128633325375</v>
      </c>
      <c r="L600" s="0" t="n">
        <f aca="false">K600*I600</f>
        <v>0.0335291730994371</v>
      </c>
    </row>
    <row r="601" customFormat="false" ht="12.8" hidden="false" customHeight="false" outlineLevel="0" collapsed="false">
      <c r="A601" s="0" t="n">
        <v>599</v>
      </c>
      <c r="B601" s="0" t="n">
        <f aca="false">calc_cohort!D$2+constant!$B$1*A601</f>
        <v>81.1166666666667</v>
      </c>
      <c r="C601" s="0" t="n">
        <f aca="false">_xlfn.FLOOR.MATH(B601)</f>
        <v>81</v>
      </c>
      <c r="D601" s="4" t="n">
        <f aca="false">INDEX(table_mortality_rate!$A$1:$C$2000,MATCH(C601,table_mortality_rate!$A$1:$A$2000,0),MATCH(calc_cohort!$E$2,table_mortality_rate!A$1:C$1,0))</f>
        <v>0.0763</v>
      </c>
      <c r="E601" s="0" t="n">
        <f aca="false">(1-D601)^constant!$B$1</f>
        <v>0.993407829705267</v>
      </c>
      <c r="F601" s="0" t="n">
        <f aca="false">IF(A601=0,1,F600*E601)</f>
        <v>0.487712967634484</v>
      </c>
      <c r="G601" s="5" t="b">
        <f aca="false">B601&gt;=calc_cohort!C$2</f>
        <v>1</v>
      </c>
      <c r="H601" s="0" t="n">
        <f aca="false">IF(G601,1,0)</f>
        <v>1</v>
      </c>
      <c r="I601" s="0" t="n">
        <f aca="false">calc_cohort!$B$2*constant!$B$1*F601*H601</f>
        <v>0.501531501717461</v>
      </c>
      <c r="J601" s="0" t="n">
        <f aca="false">INDEX(table_spot_rate!B$1:B$2000,MATCH(A601,table_spot_rate!A$1:A$2000,0))</f>
        <v>0.055980459250773</v>
      </c>
      <c r="K601" s="0" t="n">
        <f aca="false">(1+J601)^(-A601*constant!$B$1)</f>
        <v>0.065944296171539</v>
      </c>
      <c r="L601" s="0" t="n">
        <f aca="false">K601*I601</f>
        <v>0.033073141888613</v>
      </c>
    </row>
    <row r="602" customFormat="false" ht="12.8" hidden="false" customHeight="false" outlineLevel="0" collapsed="false">
      <c r="A602" s="0" t="n">
        <v>600</v>
      </c>
      <c r="B602" s="0" t="n">
        <f aca="false">calc_cohort!D$2+constant!$B$1*A602</f>
        <v>81.2</v>
      </c>
      <c r="C602" s="0" t="n">
        <f aca="false">_xlfn.FLOOR.MATH(B602)</f>
        <v>81</v>
      </c>
      <c r="D602" s="4" t="n">
        <f aca="false">INDEX(table_mortality_rate!$A$1:$C$2000,MATCH(C602,table_mortality_rate!$A$1:$A$2000,0),MATCH(calc_cohort!$E$2,table_mortality_rate!A$1:C$1,0))</f>
        <v>0.0763</v>
      </c>
      <c r="E602" s="0" t="n">
        <f aca="false">(1-D602)^constant!$B$1</f>
        <v>0.993407829705267</v>
      </c>
      <c r="F602" s="0" t="n">
        <f aca="false">IF(A602=0,1,F601*E602)</f>
        <v>0.484497880696888</v>
      </c>
      <c r="G602" s="5" t="b">
        <f aca="false">B602&gt;=calc_cohort!C$2</f>
        <v>1</v>
      </c>
      <c r="H602" s="0" t="n">
        <f aca="false">IF(G602,1,0)</f>
        <v>1</v>
      </c>
      <c r="I602" s="0" t="n">
        <f aca="false">calc_cohort!$B$2*constant!$B$1*F602*H602</f>
        <v>0.498225320649966</v>
      </c>
      <c r="J602" s="0" t="n">
        <f aca="false">INDEX(table_spot_rate!B$1:B$2000,MATCH(A602,table_spot_rate!A$1:A$2000,0))</f>
        <v>0.0551382501869072</v>
      </c>
      <c r="K602" s="0" t="n">
        <f aca="false">(1+J602)^(-A602*constant!$B$1)</f>
        <v>0.0683174497172604</v>
      </c>
      <c r="L602" s="0" t="n">
        <f aca="false">K602*I602</f>
        <v>0.03403748329137</v>
      </c>
    </row>
    <row r="603" customFormat="false" ht="12.8" hidden="false" customHeight="false" outlineLevel="0" collapsed="false">
      <c r="A603" s="0" t="n">
        <v>601</v>
      </c>
      <c r="B603" s="0" t="n">
        <f aca="false">calc_cohort!D$2+constant!$B$1*A603</f>
        <v>81.2833333333333</v>
      </c>
      <c r="C603" s="0" t="n">
        <f aca="false">_xlfn.FLOOR.MATH(B603)</f>
        <v>81</v>
      </c>
      <c r="D603" s="4" t="n">
        <f aca="false">INDEX(table_mortality_rate!$A$1:$C$2000,MATCH(C603,table_mortality_rate!$A$1:$A$2000,0),MATCH(calc_cohort!$E$2,table_mortality_rate!A$1:C$1,0))</f>
        <v>0.0763</v>
      </c>
      <c r="E603" s="0" t="n">
        <f aca="false">(1-D603)^constant!$B$1</f>
        <v>0.993407829705267</v>
      </c>
      <c r="F603" s="0" t="n">
        <f aca="false">IF(A603=0,1,F602*E603)</f>
        <v>0.481303988159897</v>
      </c>
      <c r="G603" s="5" t="b">
        <f aca="false">B603&gt;=calc_cohort!C$2</f>
        <v>1</v>
      </c>
      <c r="H603" s="0" t="n">
        <f aca="false">IF(G603,1,0)</f>
        <v>1</v>
      </c>
      <c r="I603" s="0" t="n">
        <f aca="false">calc_cohort!$B$2*constant!$B$1*F603*H603</f>
        <v>0.494940934491094</v>
      </c>
      <c r="J603" s="0" t="n">
        <f aca="false">INDEX(table_spot_rate!B$1:B$2000,MATCH(A603,table_spot_rate!A$1:A$2000,0))</f>
        <v>0.0527046010027291</v>
      </c>
      <c r="K603" s="0" t="n">
        <f aca="false">(1+J603)^(-A603*constant!$B$1)</f>
        <v>0.076351059646238</v>
      </c>
      <c r="L603" s="0" t="n">
        <f aca="false">K603*I603</f>
        <v>0.0377892648106943</v>
      </c>
    </row>
    <row r="604" customFormat="false" ht="12.8" hidden="false" customHeight="false" outlineLevel="0" collapsed="false">
      <c r="A604" s="0" t="n">
        <v>602</v>
      </c>
      <c r="B604" s="0" t="n">
        <f aca="false">calc_cohort!D$2+constant!$B$1*A604</f>
        <v>81.3666666666667</v>
      </c>
      <c r="C604" s="0" t="n">
        <f aca="false">_xlfn.FLOOR.MATH(B604)</f>
        <v>81</v>
      </c>
      <c r="D604" s="4" t="n">
        <f aca="false">INDEX(table_mortality_rate!$A$1:$C$2000,MATCH(C604,table_mortality_rate!$A$1:$A$2000,0),MATCH(calc_cohort!$E$2,table_mortality_rate!A$1:C$1,0))</f>
        <v>0.0763</v>
      </c>
      <c r="E604" s="0" t="n">
        <f aca="false">(1-D604)^constant!$B$1</f>
        <v>0.993407829705267</v>
      </c>
      <c r="F604" s="0" t="n">
        <f aca="false">IF(A604=0,1,F603*E604)</f>
        <v>0.478131150306413</v>
      </c>
      <c r="G604" s="5" t="b">
        <f aca="false">B604&gt;=calc_cohort!C$2</f>
        <v>1</v>
      </c>
      <c r="H604" s="0" t="n">
        <f aca="false">IF(G604,1,0)</f>
        <v>1</v>
      </c>
      <c r="I604" s="0" t="n">
        <f aca="false">calc_cohort!$B$2*constant!$B$1*F604*H604</f>
        <v>0.491678199565094</v>
      </c>
      <c r="J604" s="0" t="n">
        <f aca="false">INDEX(table_spot_rate!B$1:B$2000,MATCH(A604,table_spot_rate!A$1:A$2000,0))</f>
        <v>0.0573252889859169</v>
      </c>
      <c r="K604" s="0" t="n">
        <f aca="false">(1+J604)^(-A604*constant!$B$1)</f>
        <v>0.0610287174584412</v>
      </c>
      <c r="L604" s="0" t="n">
        <f aca="false">K604*I604</f>
        <v>0.0300064899217332</v>
      </c>
    </row>
    <row r="605" customFormat="false" ht="12.8" hidden="false" customHeight="false" outlineLevel="0" collapsed="false">
      <c r="A605" s="0" t="n">
        <v>603</v>
      </c>
      <c r="B605" s="0" t="n">
        <f aca="false">calc_cohort!D$2+constant!$B$1*A605</f>
        <v>81.45</v>
      </c>
      <c r="C605" s="0" t="n">
        <f aca="false">_xlfn.FLOOR.MATH(B605)</f>
        <v>81</v>
      </c>
      <c r="D605" s="4" t="n">
        <f aca="false">INDEX(table_mortality_rate!$A$1:$C$2000,MATCH(C605,table_mortality_rate!$A$1:$A$2000,0),MATCH(calc_cohort!$E$2,table_mortality_rate!A$1:C$1,0))</f>
        <v>0.0763</v>
      </c>
      <c r="E605" s="0" t="n">
        <f aca="false">(1-D605)^constant!$B$1</f>
        <v>0.993407829705267</v>
      </c>
      <c r="F605" s="0" t="n">
        <f aca="false">IF(A605=0,1,F604*E605)</f>
        <v>0.474979228340376</v>
      </c>
      <c r="G605" s="5" t="b">
        <f aca="false">B605&gt;=calc_cohort!C$2</f>
        <v>1</v>
      </c>
      <c r="H605" s="0" t="n">
        <f aca="false">IF(G605,1,0)</f>
        <v>1</v>
      </c>
      <c r="I605" s="0" t="n">
        <f aca="false">calc_cohort!$B$2*constant!$B$1*F605*H605</f>
        <v>0.488436973143354</v>
      </c>
      <c r="J605" s="0" t="n">
        <f aca="false">INDEX(table_spot_rate!B$1:B$2000,MATCH(A605,table_spot_rate!A$1:A$2000,0))</f>
        <v>0.0502913146209246</v>
      </c>
      <c r="K605" s="0" t="n">
        <f aca="false">(1+J605)^(-A605*constant!$B$1)</f>
        <v>0.084954003749016</v>
      </c>
      <c r="L605" s="0" t="n">
        <f aca="false">K605*I605</f>
        <v>0.0414946764475785</v>
      </c>
    </row>
    <row r="606" customFormat="false" ht="12.8" hidden="false" customHeight="false" outlineLevel="0" collapsed="false">
      <c r="A606" s="0" t="n">
        <v>604</v>
      </c>
      <c r="B606" s="0" t="n">
        <f aca="false">calc_cohort!D$2+constant!$B$1*A606</f>
        <v>81.5333333333333</v>
      </c>
      <c r="C606" s="0" t="n">
        <f aca="false">_xlfn.FLOOR.MATH(B606)</f>
        <v>81</v>
      </c>
      <c r="D606" s="4" t="n">
        <f aca="false">INDEX(table_mortality_rate!$A$1:$C$2000,MATCH(C606,table_mortality_rate!$A$1:$A$2000,0),MATCH(calc_cohort!$E$2,table_mortality_rate!A$1:C$1,0))</f>
        <v>0.0763</v>
      </c>
      <c r="E606" s="0" t="n">
        <f aca="false">(1-D606)^constant!$B$1</f>
        <v>0.993407829705267</v>
      </c>
      <c r="F606" s="0" t="n">
        <f aca="false">IF(A606=0,1,F605*E606)</f>
        <v>0.471848084380696</v>
      </c>
      <c r="G606" s="5" t="b">
        <f aca="false">B606&gt;=calc_cohort!C$2</f>
        <v>1</v>
      </c>
      <c r="H606" s="0" t="n">
        <f aca="false">IF(G606,1,0)</f>
        <v>1</v>
      </c>
      <c r="I606" s="0" t="n">
        <f aca="false">calc_cohort!$B$2*constant!$B$1*F606*H606</f>
        <v>0.485217113438149</v>
      </c>
      <c r="J606" s="0" t="n">
        <f aca="false">INDEX(table_spot_rate!B$1:B$2000,MATCH(A606,table_spot_rate!A$1:A$2000,0))</f>
        <v>0.0538352129099493</v>
      </c>
      <c r="K606" s="0" t="n">
        <f aca="false">(1+J606)^(-A606*constant!$B$1)</f>
        <v>0.0714124276384368</v>
      </c>
      <c r="L606" s="0" t="n">
        <f aca="false">K606*I606</f>
        <v>0.034650532002333</v>
      </c>
    </row>
    <row r="607" customFormat="false" ht="12.8" hidden="false" customHeight="false" outlineLevel="0" collapsed="false">
      <c r="A607" s="0" t="n">
        <v>605</v>
      </c>
      <c r="B607" s="0" t="n">
        <f aca="false">calc_cohort!D$2+constant!$B$1*A607</f>
        <v>81.6166666666667</v>
      </c>
      <c r="C607" s="0" t="n">
        <f aca="false">_xlfn.FLOOR.MATH(B607)</f>
        <v>81</v>
      </c>
      <c r="D607" s="4" t="n">
        <f aca="false">INDEX(table_mortality_rate!$A$1:$C$2000,MATCH(C607,table_mortality_rate!$A$1:$A$2000,0),MATCH(calc_cohort!$E$2,table_mortality_rate!A$1:C$1,0))</f>
        <v>0.0763</v>
      </c>
      <c r="E607" s="0" t="n">
        <f aca="false">(1-D607)^constant!$B$1</f>
        <v>0.993407829705267</v>
      </c>
      <c r="F607" s="0" t="n">
        <f aca="false">IF(A607=0,1,F606*E607)</f>
        <v>0.468737581455215</v>
      </c>
      <c r="G607" s="5" t="b">
        <f aca="false">B607&gt;=calc_cohort!C$2</f>
        <v>1</v>
      </c>
      <c r="H607" s="0" t="n">
        <f aca="false">IF(G607,1,0)</f>
        <v>1</v>
      </c>
      <c r="I607" s="0" t="n">
        <f aca="false">calc_cohort!$B$2*constant!$B$1*F607*H607</f>
        <v>0.482018479596446</v>
      </c>
      <c r="J607" s="0" t="n">
        <f aca="false">INDEX(table_spot_rate!B$1:B$2000,MATCH(A607,table_spot_rate!A$1:A$2000,0))</f>
        <v>0.0583845967271049</v>
      </c>
      <c r="K607" s="0" t="n">
        <f aca="false">(1+J607)^(-A607*constant!$B$1)</f>
        <v>0.0572211176177976</v>
      </c>
      <c r="L607" s="0" t="n">
        <f aca="false">K607*I607</f>
        <v>0.0275816361149402</v>
      </c>
    </row>
    <row r="608" customFormat="false" ht="12.8" hidden="false" customHeight="false" outlineLevel="0" collapsed="false">
      <c r="A608" s="0" t="n">
        <v>606</v>
      </c>
      <c r="B608" s="0" t="n">
        <f aca="false">calc_cohort!D$2+constant!$B$1*A608</f>
        <v>81.7</v>
      </c>
      <c r="C608" s="0" t="n">
        <f aca="false">_xlfn.FLOOR.MATH(B608)</f>
        <v>81</v>
      </c>
      <c r="D608" s="4" t="n">
        <f aca="false">INDEX(table_mortality_rate!$A$1:$C$2000,MATCH(C608,table_mortality_rate!$A$1:$A$2000,0),MATCH(calc_cohort!$E$2,table_mortality_rate!A$1:C$1,0))</f>
        <v>0.0763</v>
      </c>
      <c r="E608" s="0" t="n">
        <f aca="false">(1-D608)^constant!$B$1</f>
        <v>0.993407829705267</v>
      </c>
      <c r="F608" s="0" t="n">
        <f aca="false">IF(A608=0,1,F607*E608)</f>
        <v>0.46564758349472</v>
      </c>
      <c r="G608" s="5" t="b">
        <f aca="false">B608&gt;=calc_cohort!C$2</f>
        <v>1</v>
      </c>
      <c r="H608" s="0" t="n">
        <f aca="false">IF(G608,1,0)</f>
        <v>1</v>
      </c>
      <c r="I608" s="0" t="n">
        <f aca="false">calc_cohort!$B$2*constant!$B$1*F608*H608</f>
        <v>0.478840931693738</v>
      </c>
      <c r="J608" s="0" t="n">
        <f aca="false">INDEX(table_spot_rate!B$1:B$2000,MATCH(A608,table_spot_rate!A$1:A$2000,0))</f>
        <v>0.058801857544787</v>
      </c>
      <c r="K608" s="0" t="n">
        <f aca="false">(1+J608)^(-A608*constant!$B$1)</f>
        <v>0.0558287527145775</v>
      </c>
      <c r="L608" s="0" t="n">
        <f aca="false">K608*I608</f>
        <v>0.0267330919651476</v>
      </c>
    </row>
    <row r="609" customFormat="false" ht="12.8" hidden="false" customHeight="false" outlineLevel="0" collapsed="false">
      <c r="A609" s="0" t="n">
        <v>607</v>
      </c>
      <c r="B609" s="0" t="n">
        <f aca="false">calc_cohort!D$2+constant!$B$1*A609</f>
        <v>81.7833333333333</v>
      </c>
      <c r="C609" s="0" t="n">
        <f aca="false">_xlfn.FLOOR.MATH(B609)</f>
        <v>81</v>
      </c>
      <c r="D609" s="4" t="n">
        <f aca="false">INDEX(table_mortality_rate!$A$1:$C$2000,MATCH(C609,table_mortality_rate!$A$1:$A$2000,0),MATCH(calc_cohort!$E$2,table_mortality_rate!A$1:C$1,0))</f>
        <v>0.0763</v>
      </c>
      <c r="E609" s="0" t="n">
        <f aca="false">(1-D609)^constant!$B$1</f>
        <v>0.993407829705267</v>
      </c>
      <c r="F609" s="0" t="n">
        <f aca="false">IF(A609=0,1,F608*E609)</f>
        <v>0.462577955326992</v>
      </c>
      <c r="G609" s="5" t="b">
        <f aca="false">B609&gt;=calc_cohort!C$2</f>
        <v>1</v>
      </c>
      <c r="H609" s="0" t="n">
        <f aca="false">IF(G609,1,0)</f>
        <v>1</v>
      </c>
      <c r="I609" s="0" t="n">
        <f aca="false">calc_cohort!$B$2*constant!$B$1*F609*H609</f>
        <v>0.475684330727924</v>
      </c>
      <c r="J609" s="0" t="n">
        <f aca="false">INDEX(table_spot_rate!B$1:B$2000,MATCH(A609,table_spot_rate!A$1:A$2000,0))</f>
        <v>0.0548275518428251</v>
      </c>
      <c r="K609" s="0" t="n">
        <f aca="false">(1+J609)^(-A609*constant!$B$1)</f>
        <v>0.0672054095331664</v>
      </c>
      <c r="L609" s="0" t="n">
        <f aca="false">K609*I609</f>
        <v>0.0319685602550803</v>
      </c>
    </row>
    <row r="610" customFormat="false" ht="12.8" hidden="false" customHeight="false" outlineLevel="0" collapsed="false">
      <c r="A610" s="0" t="n">
        <v>608</v>
      </c>
      <c r="B610" s="0" t="n">
        <f aca="false">calc_cohort!D$2+constant!$B$1*A610</f>
        <v>81.8666666666667</v>
      </c>
      <c r="C610" s="0" t="n">
        <f aca="false">_xlfn.FLOOR.MATH(B610)</f>
        <v>81</v>
      </c>
      <c r="D610" s="4" t="n">
        <f aca="false">INDEX(table_mortality_rate!$A$1:$C$2000,MATCH(C610,table_mortality_rate!$A$1:$A$2000,0),MATCH(calc_cohort!$E$2,table_mortality_rate!A$1:C$1,0))</f>
        <v>0.0763</v>
      </c>
      <c r="E610" s="0" t="n">
        <f aca="false">(1-D610)^constant!$B$1</f>
        <v>0.993407829705267</v>
      </c>
      <c r="F610" s="0" t="n">
        <f aca="false">IF(A610=0,1,F609*E610)</f>
        <v>0.459528562670888</v>
      </c>
      <c r="G610" s="5" t="b">
        <f aca="false">B610&gt;=calc_cohort!C$2</f>
        <v>1</v>
      </c>
      <c r="H610" s="0" t="n">
        <f aca="false">IF(G610,1,0)</f>
        <v>1</v>
      </c>
      <c r="I610" s="0" t="n">
        <f aca="false">calc_cohort!$B$2*constant!$B$1*F610*H610</f>
        <v>0.472548538613229</v>
      </c>
      <c r="J610" s="0" t="n">
        <f aca="false">INDEX(table_spot_rate!B$1:B$2000,MATCH(A610,table_spot_rate!A$1:A$2000,0))</f>
        <v>0.054615619442157</v>
      </c>
      <c r="K610" s="0" t="n">
        <f aca="false">(1+J610)^(-A610*constant!$B$1)</f>
        <v>0.0675917837976341</v>
      </c>
      <c r="L610" s="0" t="n">
        <f aca="false">K610*I610</f>
        <v>0.0319403986558333</v>
      </c>
    </row>
    <row r="611" customFormat="false" ht="12.8" hidden="false" customHeight="false" outlineLevel="0" collapsed="false">
      <c r="A611" s="0" t="n">
        <v>609</v>
      </c>
      <c r="B611" s="0" t="n">
        <f aca="false">calc_cohort!D$2+constant!$B$1*A611</f>
        <v>81.95</v>
      </c>
      <c r="C611" s="0" t="n">
        <f aca="false">_xlfn.FLOOR.MATH(B611)</f>
        <v>81</v>
      </c>
      <c r="D611" s="4" t="n">
        <f aca="false">INDEX(table_mortality_rate!$A$1:$C$2000,MATCH(C611,table_mortality_rate!$A$1:$A$2000,0),MATCH(calc_cohort!$E$2,table_mortality_rate!A$1:C$1,0))</f>
        <v>0.0763</v>
      </c>
      <c r="E611" s="0" t="n">
        <f aca="false">(1-D611)^constant!$B$1</f>
        <v>0.993407829705267</v>
      </c>
      <c r="F611" s="0" t="n">
        <f aca="false">IF(A611=0,1,F610*E611)</f>
        <v>0.456499272130467</v>
      </c>
      <c r="G611" s="5" t="b">
        <f aca="false">B611&gt;=calc_cohort!C$2</f>
        <v>1</v>
      </c>
      <c r="H611" s="0" t="n">
        <f aca="false">IF(G611,1,0)</f>
        <v>1</v>
      </c>
      <c r="I611" s="0" t="n">
        <f aca="false">calc_cohort!$B$2*constant!$B$1*F611*H611</f>
        <v>0.469433418174164</v>
      </c>
      <c r="J611" s="0" t="n">
        <f aca="false">INDEX(table_spot_rate!B$1:B$2000,MATCH(A611,table_spot_rate!A$1:A$2000,0))</f>
        <v>0.0598048512581313</v>
      </c>
      <c r="K611" s="0" t="n">
        <f aca="false">(1+J611)^(-A611*constant!$B$1)</f>
        <v>0.0524548215977086</v>
      </c>
      <c r="L611" s="0" t="n">
        <f aca="false">K611*I611</f>
        <v>0.0246240462023283</v>
      </c>
    </row>
    <row r="612" customFormat="false" ht="12.8" hidden="false" customHeight="false" outlineLevel="0" collapsed="false">
      <c r="A612" s="0" t="n">
        <v>610</v>
      </c>
      <c r="B612" s="0" t="n">
        <f aca="false">calc_cohort!D$2+constant!$B$1*A612</f>
        <v>82.0333333333333</v>
      </c>
      <c r="C612" s="0" t="n">
        <f aca="false">_xlfn.FLOOR.MATH(B612)</f>
        <v>82</v>
      </c>
      <c r="D612" s="4" t="n">
        <f aca="false">INDEX(table_mortality_rate!$A$1:$C$2000,MATCH(C612,table_mortality_rate!$A$1:$A$2000,0),MATCH(calc_cohort!$E$2,table_mortality_rate!A$1:C$1,0))</f>
        <v>0.083893</v>
      </c>
      <c r="E612" s="0" t="n">
        <f aca="false">(1-D612)^constant!$B$1</f>
        <v>0.992724751275704</v>
      </c>
      <c r="F612" s="0" t="n">
        <f aca="false">IF(A612=0,1,F611*E612)</f>
        <v>0.453178126383258</v>
      </c>
      <c r="G612" s="5" t="b">
        <f aca="false">B612&gt;=calc_cohort!C$2</f>
        <v>1</v>
      </c>
      <c r="H612" s="0" t="n">
        <f aca="false">IF(G612,1,0)</f>
        <v>1</v>
      </c>
      <c r="I612" s="0" t="n">
        <f aca="false">calc_cohort!$B$2*constant!$B$1*F612*H612</f>
        <v>0.46601817329745</v>
      </c>
      <c r="J612" s="0" t="n">
        <f aca="false">INDEX(table_spot_rate!B$1:B$2000,MATCH(A612,table_spot_rate!A$1:A$2000,0))</f>
        <v>0.0556641669655194</v>
      </c>
      <c r="K612" s="0" t="n">
        <f aca="false">(1+J612)^(-A612*constant!$B$1)</f>
        <v>0.0636951212378595</v>
      </c>
      <c r="L612" s="0" t="n">
        <f aca="false">K612*I612</f>
        <v>0.0296830840472269</v>
      </c>
    </row>
    <row r="613" customFormat="false" ht="12.8" hidden="false" customHeight="false" outlineLevel="0" collapsed="false">
      <c r="A613" s="0" t="n">
        <v>611</v>
      </c>
      <c r="B613" s="0" t="n">
        <f aca="false">calc_cohort!D$2+constant!$B$1*A613</f>
        <v>82.1166666666667</v>
      </c>
      <c r="C613" s="0" t="n">
        <f aca="false">_xlfn.FLOOR.MATH(B613)</f>
        <v>82</v>
      </c>
      <c r="D613" s="4" t="n">
        <f aca="false">INDEX(table_mortality_rate!$A$1:$C$2000,MATCH(C613,table_mortality_rate!$A$1:$A$2000,0),MATCH(calc_cohort!$E$2,table_mortality_rate!A$1:C$1,0))</f>
        <v>0.083893</v>
      </c>
      <c r="E613" s="0" t="n">
        <f aca="false">(1-D613)^constant!$B$1</f>
        <v>0.992724751275704</v>
      </c>
      <c r="F613" s="0" t="n">
        <f aca="false">IF(A613=0,1,F612*E613)</f>
        <v>0.449881142797409</v>
      </c>
      <c r="G613" s="5" t="b">
        <f aca="false">B613&gt;=calc_cohort!C$2</f>
        <v>1</v>
      </c>
      <c r="H613" s="0" t="n">
        <f aca="false">IF(G613,1,0)</f>
        <v>1</v>
      </c>
      <c r="I613" s="0" t="n">
        <f aca="false">calc_cohort!$B$2*constant!$B$1*F613*H613</f>
        <v>0.462627775176669</v>
      </c>
      <c r="J613" s="0" t="n">
        <f aca="false">INDEX(table_spot_rate!B$1:B$2000,MATCH(A613,table_spot_rate!A$1:A$2000,0))</f>
        <v>0.0560904789495672</v>
      </c>
      <c r="K613" s="0" t="n">
        <f aca="false">(1+J613)^(-A613*constant!$B$1)</f>
        <v>0.0621180195389821</v>
      </c>
      <c r="L613" s="0" t="n">
        <f aca="false">K613*I613</f>
        <v>0.0287375211777001</v>
      </c>
    </row>
    <row r="614" customFormat="false" ht="12.8" hidden="false" customHeight="false" outlineLevel="0" collapsed="false">
      <c r="A614" s="0" t="n">
        <v>612</v>
      </c>
      <c r="B614" s="0" t="n">
        <f aca="false">calc_cohort!D$2+constant!$B$1*A614</f>
        <v>82.2</v>
      </c>
      <c r="C614" s="0" t="n">
        <f aca="false">_xlfn.FLOOR.MATH(B614)</f>
        <v>82</v>
      </c>
      <c r="D614" s="4" t="n">
        <f aca="false">INDEX(table_mortality_rate!$A$1:$C$2000,MATCH(C614,table_mortality_rate!$A$1:$A$2000,0),MATCH(calc_cohort!$E$2,table_mortality_rate!A$1:C$1,0))</f>
        <v>0.083893</v>
      </c>
      <c r="E614" s="0" t="n">
        <f aca="false">(1-D614)^constant!$B$1</f>
        <v>0.992724751275704</v>
      </c>
      <c r="F614" s="0" t="n">
        <f aca="false">IF(A614=0,1,F613*E614)</f>
        <v>0.446608145587187</v>
      </c>
      <c r="G614" s="5" t="b">
        <f aca="false">B614&gt;=calc_cohort!C$2</f>
        <v>1</v>
      </c>
      <c r="H614" s="0" t="n">
        <f aca="false">IF(G614,1,0)</f>
        <v>1</v>
      </c>
      <c r="I614" s="0" t="n">
        <f aca="false">calc_cohort!$B$2*constant!$B$1*F614*H614</f>
        <v>0.459262043045491</v>
      </c>
      <c r="J614" s="0" t="n">
        <f aca="false">INDEX(table_spot_rate!B$1:B$2000,MATCH(A614,table_spot_rate!A$1:A$2000,0))</f>
        <v>0.0592810406261684</v>
      </c>
      <c r="K614" s="0" t="n">
        <f aca="false">(1+J614)^(-A614*constant!$B$1)</f>
        <v>0.0530186714273823</v>
      </c>
      <c r="L614" s="0" t="n">
        <f aca="false">K614*I614</f>
        <v>0.0243494633592972</v>
      </c>
    </row>
    <row r="615" customFormat="false" ht="12.8" hidden="false" customHeight="false" outlineLevel="0" collapsed="false">
      <c r="A615" s="0" t="n">
        <v>613</v>
      </c>
      <c r="B615" s="0" t="n">
        <f aca="false">calc_cohort!D$2+constant!$B$1*A615</f>
        <v>82.2833333333333</v>
      </c>
      <c r="C615" s="0" t="n">
        <f aca="false">_xlfn.FLOOR.MATH(B615)</f>
        <v>82</v>
      </c>
      <c r="D615" s="4" t="n">
        <f aca="false">INDEX(table_mortality_rate!$A$1:$C$2000,MATCH(C615,table_mortality_rate!$A$1:$A$2000,0),MATCH(calc_cohort!$E$2,table_mortality_rate!A$1:C$1,0))</f>
        <v>0.083893</v>
      </c>
      <c r="E615" s="0" t="n">
        <f aca="false">(1-D615)^constant!$B$1</f>
        <v>0.992724751275704</v>
      </c>
      <c r="F615" s="0" t="n">
        <f aca="false">IF(A615=0,1,F614*E615)</f>
        <v>0.443358960245743</v>
      </c>
      <c r="G615" s="5" t="b">
        <f aca="false">B615&gt;=calc_cohort!C$2</f>
        <v>1</v>
      </c>
      <c r="H615" s="0" t="n">
        <f aca="false">IF(G615,1,0)</f>
        <v>1</v>
      </c>
      <c r="I615" s="0" t="n">
        <f aca="false">calc_cohort!$B$2*constant!$B$1*F615*H615</f>
        <v>0.455920797452706</v>
      </c>
      <c r="J615" s="0" t="n">
        <f aca="false">INDEX(table_spot_rate!B$1:B$2000,MATCH(A615,table_spot_rate!A$1:A$2000,0))</f>
        <v>0.0524549504149473</v>
      </c>
      <c r="K615" s="0" t="n">
        <f aca="false">(1+J615)^(-A615*constant!$B$1)</f>
        <v>0.0734125703208168</v>
      </c>
      <c r="L615" s="0" t="n">
        <f aca="false">K615*I615</f>
        <v>0.0334703176037197</v>
      </c>
    </row>
    <row r="616" customFormat="false" ht="12.8" hidden="false" customHeight="false" outlineLevel="0" collapsed="false">
      <c r="A616" s="0" t="n">
        <v>614</v>
      </c>
      <c r="B616" s="0" t="n">
        <f aca="false">calc_cohort!D$2+constant!$B$1*A616</f>
        <v>82.3666666666667</v>
      </c>
      <c r="C616" s="0" t="n">
        <f aca="false">_xlfn.FLOOR.MATH(B616)</f>
        <v>82</v>
      </c>
      <c r="D616" s="4" t="n">
        <f aca="false">INDEX(table_mortality_rate!$A$1:$C$2000,MATCH(C616,table_mortality_rate!$A$1:$A$2000,0),MATCH(calc_cohort!$E$2,table_mortality_rate!A$1:C$1,0))</f>
        <v>0.083893</v>
      </c>
      <c r="E616" s="0" t="n">
        <f aca="false">(1-D616)^constant!$B$1</f>
        <v>0.992724751275704</v>
      </c>
      <c r="F616" s="0" t="n">
        <f aca="false">IF(A616=0,1,F615*E616)</f>
        <v>0.44013341353581</v>
      </c>
      <c r="G616" s="5" t="b">
        <f aca="false">B616&gt;=calc_cohort!C$2</f>
        <v>1</v>
      </c>
      <c r="H616" s="0" t="n">
        <f aca="false">IF(G616,1,0)</f>
        <v>1</v>
      </c>
      <c r="I616" s="0" t="n">
        <f aca="false">calc_cohort!$B$2*constant!$B$1*F616*H616</f>
        <v>0.452603860252658</v>
      </c>
      <c r="J616" s="0" t="n">
        <f aca="false">INDEX(table_spot_rate!B$1:B$2000,MATCH(A616,table_spot_rate!A$1:A$2000,0))</f>
        <v>0.0522795503945747</v>
      </c>
      <c r="K616" s="0" t="n">
        <f aca="false">(1+J616)^(-A616*constant!$B$1)</f>
        <v>0.0737265343269461</v>
      </c>
      <c r="L616" s="0" t="n">
        <f aca="false">K616*I616</f>
        <v>0.0333689140394259</v>
      </c>
    </row>
    <row r="617" customFormat="false" ht="12.8" hidden="false" customHeight="false" outlineLevel="0" collapsed="false">
      <c r="A617" s="0" t="n">
        <v>615</v>
      </c>
      <c r="B617" s="0" t="n">
        <f aca="false">calc_cohort!D$2+constant!$B$1*A617</f>
        <v>82.45</v>
      </c>
      <c r="C617" s="0" t="n">
        <f aca="false">_xlfn.FLOOR.MATH(B617)</f>
        <v>82</v>
      </c>
      <c r="D617" s="4" t="n">
        <f aca="false">INDEX(table_mortality_rate!$A$1:$C$2000,MATCH(C617,table_mortality_rate!$A$1:$A$2000,0),MATCH(calc_cohort!$E$2,table_mortality_rate!A$1:C$1,0))</f>
        <v>0.083893</v>
      </c>
      <c r="E617" s="0" t="n">
        <f aca="false">(1-D617)^constant!$B$1</f>
        <v>0.992724751275704</v>
      </c>
      <c r="F617" s="0" t="n">
        <f aca="false">IF(A617=0,1,F616*E617)</f>
        <v>0.436931333480463</v>
      </c>
      <c r="G617" s="5" t="b">
        <f aca="false">B617&gt;=calc_cohort!C$2</f>
        <v>1</v>
      </c>
      <c r="H617" s="0" t="n">
        <f aca="false">IF(G617,1,0)</f>
        <v>1</v>
      </c>
      <c r="I617" s="0" t="n">
        <f aca="false">calc_cohort!$B$2*constant!$B$1*F617*H617</f>
        <v>0.449311054595743</v>
      </c>
      <c r="J617" s="0" t="n">
        <f aca="false">INDEX(table_spot_rate!B$1:B$2000,MATCH(A617,table_spot_rate!A$1:A$2000,0))</f>
        <v>0.0530172834976684</v>
      </c>
      <c r="K617" s="0" t="n">
        <f aca="false">(1+J617)^(-A617*constant!$B$1)</f>
        <v>0.0708240329098623</v>
      </c>
      <c r="L617" s="0" t="n">
        <f aca="false">K617*I617</f>
        <v>0.0318220209174538</v>
      </c>
    </row>
    <row r="618" customFormat="false" ht="12.8" hidden="false" customHeight="false" outlineLevel="0" collapsed="false">
      <c r="A618" s="0" t="n">
        <v>616</v>
      </c>
      <c r="B618" s="0" t="n">
        <f aca="false">calc_cohort!D$2+constant!$B$1*A618</f>
        <v>82.5333333333333</v>
      </c>
      <c r="C618" s="0" t="n">
        <f aca="false">_xlfn.FLOOR.MATH(B618)</f>
        <v>82</v>
      </c>
      <c r="D618" s="4" t="n">
        <f aca="false">INDEX(table_mortality_rate!$A$1:$C$2000,MATCH(C618,table_mortality_rate!$A$1:$A$2000,0),MATCH(calc_cohort!$E$2,table_mortality_rate!A$1:C$1,0))</f>
        <v>0.083893</v>
      </c>
      <c r="E618" s="0" t="n">
        <f aca="false">(1-D618)^constant!$B$1</f>
        <v>0.992724751275704</v>
      </c>
      <c r="F618" s="0" t="n">
        <f aca="false">IF(A618=0,1,F617*E618)</f>
        <v>0.433752549353954</v>
      </c>
      <c r="G618" s="5" t="b">
        <f aca="false">B618&gt;=calc_cohort!C$2</f>
        <v>1</v>
      </c>
      <c r="H618" s="0" t="n">
        <f aca="false">IF(G618,1,0)</f>
        <v>1</v>
      </c>
      <c r="I618" s="0" t="n">
        <f aca="false">calc_cohort!$B$2*constant!$B$1*F618*H618</f>
        <v>0.446042204918983</v>
      </c>
      <c r="J618" s="0" t="n">
        <f aca="false">INDEX(table_spot_rate!B$1:B$2000,MATCH(A618,table_spot_rate!A$1:A$2000,0))</f>
        <v>0.0587907603357287</v>
      </c>
      <c r="K618" s="0" t="n">
        <f aca="false">(1+J618)^(-A618*constant!$B$1)</f>
        <v>0.0532614117326936</v>
      </c>
      <c r="L618" s="0" t="n">
        <f aca="false">K618*I618</f>
        <v>0.0237568375263484</v>
      </c>
    </row>
    <row r="619" customFormat="false" ht="12.8" hidden="false" customHeight="false" outlineLevel="0" collapsed="false">
      <c r="A619" s="0" t="n">
        <v>617</v>
      </c>
      <c r="B619" s="0" t="n">
        <f aca="false">calc_cohort!D$2+constant!$B$1*A619</f>
        <v>82.6166666666667</v>
      </c>
      <c r="C619" s="0" t="n">
        <f aca="false">_xlfn.FLOOR.MATH(B619)</f>
        <v>82</v>
      </c>
      <c r="D619" s="4" t="n">
        <f aca="false">INDEX(table_mortality_rate!$A$1:$C$2000,MATCH(C619,table_mortality_rate!$A$1:$A$2000,0),MATCH(calc_cohort!$E$2,table_mortality_rate!A$1:C$1,0))</f>
        <v>0.083893</v>
      </c>
      <c r="E619" s="0" t="n">
        <f aca="false">(1-D619)^constant!$B$1</f>
        <v>0.992724751275704</v>
      </c>
      <c r="F619" s="0" t="n">
        <f aca="false">IF(A619=0,1,F618*E619)</f>
        <v>0.430596891672607</v>
      </c>
      <c r="G619" s="5" t="b">
        <f aca="false">B619&gt;=calc_cohort!C$2</f>
        <v>1</v>
      </c>
      <c r="H619" s="0" t="n">
        <f aca="false">IF(G619,1,0)</f>
        <v>1</v>
      </c>
      <c r="I619" s="0" t="n">
        <f aca="false">calc_cohort!$B$2*constant!$B$1*F619*H619</f>
        <v>0.442797136936664</v>
      </c>
      <c r="J619" s="0" t="n">
        <f aca="false">INDEX(table_spot_rate!B$1:B$2000,MATCH(A619,table_spot_rate!A$1:A$2000,0))</f>
        <v>0.0549489389371714</v>
      </c>
      <c r="K619" s="0" t="n">
        <f aca="false">(1+J619)^(-A619*constant!$B$1)</f>
        <v>0.0639023472561231</v>
      </c>
      <c r="L619" s="0" t="n">
        <f aca="false">K619*I619</f>
        <v>0.0282957764085438</v>
      </c>
    </row>
    <row r="620" customFormat="false" ht="12.8" hidden="false" customHeight="false" outlineLevel="0" collapsed="false">
      <c r="A620" s="0" t="n">
        <v>618</v>
      </c>
      <c r="B620" s="0" t="n">
        <f aca="false">calc_cohort!D$2+constant!$B$1*A620</f>
        <v>82.7</v>
      </c>
      <c r="C620" s="0" t="n">
        <f aca="false">_xlfn.FLOOR.MATH(B620)</f>
        <v>82</v>
      </c>
      <c r="D620" s="4" t="n">
        <f aca="false">INDEX(table_mortality_rate!$A$1:$C$2000,MATCH(C620,table_mortality_rate!$A$1:$A$2000,0),MATCH(calc_cohort!$E$2,table_mortality_rate!A$1:C$1,0))</f>
        <v>0.083893</v>
      </c>
      <c r="E620" s="0" t="n">
        <f aca="false">(1-D620)^constant!$B$1</f>
        <v>0.992724751275704</v>
      </c>
      <c r="F620" s="0" t="n">
        <f aca="false">IF(A620=0,1,F619*E620)</f>
        <v>0.427464192185779</v>
      </c>
      <c r="G620" s="5" t="b">
        <f aca="false">B620&gt;=calc_cohort!C$2</f>
        <v>1</v>
      </c>
      <c r="H620" s="0" t="n">
        <f aca="false">IF(G620,1,0)</f>
        <v>1</v>
      </c>
      <c r="I620" s="0" t="n">
        <f aca="false">calc_cohort!$B$2*constant!$B$1*F620*H620</f>
        <v>0.439575677631043</v>
      </c>
      <c r="J620" s="0" t="n">
        <f aca="false">INDEX(table_spot_rate!B$1:B$2000,MATCH(A620,table_spot_rate!A$1:A$2000,0))</f>
        <v>0.0557328134377636</v>
      </c>
      <c r="K620" s="0" t="n">
        <f aca="false">(1+J620)^(-A620*constant!$B$1)</f>
        <v>0.0612305220101503</v>
      </c>
      <c r="L620" s="0" t="n">
        <f aca="false">K620*I620</f>
        <v>0.0269154482043143</v>
      </c>
    </row>
    <row r="621" customFormat="false" ht="12.8" hidden="false" customHeight="false" outlineLevel="0" collapsed="false">
      <c r="A621" s="0" t="n">
        <v>619</v>
      </c>
      <c r="B621" s="0" t="n">
        <f aca="false">calc_cohort!D$2+constant!$B$1*A621</f>
        <v>82.7833333333333</v>
      </c>
      <c r="C621" s="0" t="n">
        <f aca="false">_xlfn.FLOOR.MATH(B621)</f>
        <v>82</v>
      </c>
      <c r="D621" s="4" t="n">
        <f aca="false">INDEX(table_mortality_rate!$A$1:$C$2000,MATCH(C621,table_mortality_rate!$A$1:$A$2000,0),MATCH(calc_cohort!$E$2,table_mortality_rate!A$1:C$1,0))</f>
        <v>0.083893</v>
      </c>
      <c r="E621" s="0" t="n">
        <f aca="false">(1-D621)^constant!$B$1</f>
        <v>0.992724751275704</v>
      </c>
      <c r="F621" s="0" t="n">
        <f aca="false">IF(A621=0,1,F620*E621)</f>
        <v>0.424354283866897</v>
      </c>
      <c r="G621" s="5" t="b">
        <f aca="false">B621&gt;=calc_cohort!C$2</f>
        <v>1</v>
      </c>
      <c r="H621" s="0" t="n">
        <f aca="false">IF(G621,1,0)</f>
        <v>1</v>
      </c>
      <c r="I621" s="0" t="n">
        <f aca="false">calc_cohort!$B$2*constant!$B$1*F621*H621</f>
        <v>0.436377655243126</v>
      </c>
      <c r="J621" s="0" t="n">
        <f aca="false">INDEX(table_spot_rate!B$1:B$2000,MATCH(A621,table_spot_rate!A$1:A$2000,0))</f>
        <v>0.0514409048291528</v>
      </c>
      <c r="K621" s="0" t="n">
        <f aca="false">(1+J621)^(-A621*constant!$B$1)</f>
        <v>0.0752079688846007</v>
      </c>
      <c r="L621" s="0" t="n">
        <f aca="false">K621*I621</f>
        <v>0.0328190771174601</v>
      </c>
    </row>
    <row r="622" customFormat="false" ht="12.8" hidden="false" customHeight="false" outlineLevel="0" collapsed="false">
      <c r="A622" s="0" t="n">
        <v>620</v>
      </c>
      <c r="B622" s="0" t="n">
        <f aca="false">calc_cohort!D$2+constant!$B$1*A622</f>
        <v>82.8666666666667</v>
      </c>
      <c r="C622" s="0" t="n">
        <f aca="false">_xlfn.FLOOR.MATH(B622)</f>
        <v>82</v>
      </c>
      <c r="D622" s="4" t="n">
        <f aca="false">INDEX(table_mortality_rate!$A$1:$C$2000,MATCH(C622,table_mortality_rate!$A$1:$A$2000,0),MATCH(calc_cohort!$E$2,table_mortality_rate!A$1:C$1,0))</f>
        <v>0.083893</v>
      </c>
      <c r="E622" s="0" t="n">
        <f aca="false">(1-D622)^constant!$B$1</f>
        <v>0.992724751275704</v>
      </c>
      <c r="F622" s="0" t="n">
        <f aca="false">IF(A622=0,1,F621*E622)</f>
        <v>0.421267000904545</v>
      </c>
      <c r="G622" s="5" t="b">
        <f aca="false">B622&gt;=calc_cohort!C$2</f>
        <v>1</v>
      </c>
      <c r="H622" s="0" t="n">
        <f aca="false">IF(G622,1,0)</f>
        <v>1</v>
      </c>
      <c r="I622" s="0" t="n">
        <f aca="false">calc_cohort!$B$2*constant!$B$1*F622*H622</f>
        <v>0.433202899263507</v>
      </c>
      <c r="J622" s="0" t="n">
        <f aca="false">INDEX(table_spot_rate!B$1:B$2000,MATCH(A622,table_spot_rate!A$1:A$2000,0))</f>
        <v>0.0534884908104644</v>
      </c>
      <c r="K622" s="0" t="n">
        <f aca="false">(1+J622)^(-A622*constant!$B$1)</f>
        <v>0.0677320009329212</v>
      </c>
      <c r="L622" s="0" t="n">
        <f aca="false">K622*I622</f>
        <v>0.02934169917706</v>
      </c>
    </row>
    <row r="623" customFormat="false" ht="12.8" hidden="false" customHeight="false" outlineLevel="0" collapsed="false">
      <c r="A623" s="0" t="n">
        <v>621</v>
      </c>
      <c r="B623" s="0" t="n">
        <f aca="false">calc_cohort!D$2+constant!$B$1*A623</f>
        <v>82.95</v>
      </c>
      <c r="C623" s="0" t="n">
        <f aca="false">_xlfn.FLOOR.MATH(B623)</f>
        <v>82</v>
      </c>
      <c r="D623" s="4" t="n">
        <f aca="false">INDEX(table_mortality_rate!$A$1:$C$2000,MATCH(C623,table_mortality_rate!$A$1:$A$2000,0),MATCH(calc_cohort!$E$2,table_mortality_rate!A$1:C$1,0))</f>
        <v>0.083893</v>
      </c>
      <c r="E623" s="0" t="n">
        <f aca="false">(1-D623)^constant!$B$1</f>
        <v>0.992724751275704</v>
      </c>
      <c r="F623" s="0" t="n">
        <f aca="false">IF(A623=0,1,F622*E623)</f>
        <v>0.418202178693626</v>
      </c>
      <c r="G623" s="5" t="b">
        <f aca="false">B623&gt;=calc_cohort!C$2</f>
        <v>1</v>
      </c>
      <c r="H623" s="0" t="n">
        <f aca="false">IF(G623,1,0)</f>
        <v>1</v>
      </c>
      <c r="I623" s="0" t="n">
        <f aca="false">calc_cohort!$B$2*constant!$B$1*F623*H623</f>
        <v>0.430051240423279</v>
      </c>
      <c r="J623" s="0" t="n">
        <f aca="false">INDEX(table_spot_rate!B$1:B$2000,MATCH(A623,table_spot_rate!A$1:A$2000,0))</f>
        <v>0.0587117913588796</v>
      </c>
      <c r="K623" s="0" t="n">
        <f aca="false">(1+J623)^(-A623*constant!$B$1)</f>
        <v>0.0522097285535273</v>
      </c>
      <c r="L623" s="0" t="n">
        <f aca="false">K623*I623</f>
        <v>0.0224528585266071</v>
      </c>
    </row>
    <row r="624" customFormat="false" ht="12.8" hidden="false" customHeight="false" outlineLevel="0" collapsed="false">
      <c r="A624" s="0" t="n">
        <v>622</v>
      </c>
      <c r="B624" s="0" t="n">
        <f aca="false">calc_cohort!D$2+constant!$B$1*A624</f>
        <v>83.0333333333333</v>
      </c>
      <c r="C624" s="0" t="n">
        <f aca="false">_xlfn.FLOOR.MATH(B624)</f>
        <v>83</v>
      </c>
      <c r="D624" s="4" t="n">
        <f aca="false">INDEX(table_mortality_rate!$A$1:$C$2000,MATCH(C624,table_mortality_rate!$A$1:$A$2000,0),MATCH(calc_cohort!$E$2,table_mortality_rate!A$1:C$1,0))</f>
        <v>0.092117</v>
      </c>
      <c r="E624" s="0" t="n">
        <f aca="false">(1-D624)^constant!$B$1</f>
        <v>0.991979027445187</v>
      </c>
      <c r="F624" s="0" t="n">
        <f aca="false">IF(A624=0,1,F623*E624)</f>
        <v>0.414847790495962</v>
      </c>
      <c r="G624" s="5" t="b">
        <f aca="false">B624&gt;=calc_cohort!C$2</f>
        <v>1</v>
      </c>
      <c r="H624" s="0" t="n">
        <f aca="false">IF(G624,1,0)</f>
        <v>1</v>
      </c>
      <c r="I624" s="0" t="n">
        <f aca="false">calc_cohort!$B$2*constant!$B$1*F624*H624</f>
        <v>0.426601811226681</v>
      </c>
      <c r="J624" s="0" t="n">
        <f aca="false">INDEX(table_spot_rate!B$1:B$2000,MATCH(A624,table_spot_rate!A$1:A$2000,0))</f>
        <v>0.0555689046873307</v>
      </c>
      <c r="K624" s="0" t="n">
        <f aca="false">(1+J624)^(-A624*constant!$B$1)</f>
        <v>0.0606194299539865</v>
      </c>
      <c r="L624" s="0" t="n">
        <f aca="false">K624*I624</f>
        <v>0.0258603586138995</v>
      </c>
    </row>
    <row r="625" customFormat="false" ht="12.8" hidden="false" customHeight="false" outlineLevel="0" collapsed="false">
      <c r="A625" s="0" t="n">
        <v>623</v>
      </c>
      <c r="B625" s="0" t="n">
        <f aca="false">calc_cohort!D$2+constant!$B$1*A625</f>
        <v>83.1166666666667</v>
      </c>
      <c r="C625" s="0" t="n">
        <f aca="false">_xlfn.FLOOR.MATH(B625)</f>
        <v>83</v>
      </c>
      <c r="D625" s="4" t="n">
        <f aca="false">INDEX(table_mortality_rate!$A$1:$C$2000,MATCH(C625,table_mortality_rate!$A$1:$A$2000,0),MATCH(calc_cohort!$E$2,table_mortality_rate!A$1:C$1,0))</f>
        <v>0.092117</v>
      </c>
      <c r="E625" s="0" t="n">
        <f aca="false">(1-D625)^constant!$B$1</f>
        <v>0.991979027445187</v>
      </c>
      <c r="F625" s="0" t="n">
        <f aca="false">IF(A625=0,1,F624*E625)</f>
        <v>0.411520307753969</v>
      </c>
      <c r="G625" s="5" t="b">
        <f aca="false">B625&gt;=calc_cohort!C$2</f>
        <v>1</v>
      </c>
      <c r="H625" s="0" t="n">
        <f aca="false">IF(G625,1,0)</f>
        <v>1</v>
      </c>
      <c r="I625" s="0" t="n">
        <f aca="false">calc_cohort!$B$2*constant!$B$1*F625*H625</f>
        <v>0.423180049806998</v>
      </c>
      <c r="J625" s="0" t="n">
        <f aca="false">INDEX(table_spot_rate!B$1:B$2000,MATCH(A625,table_spot_rate!A$1:A$2000,0))</f>
        <v>0.050534680392761</v>
      </c>
      <c r="K625" s="0" t="n">
        <f aca="false">(1+J625)^(-A625*constant!$B$1)</f>
        <v>0.0773470426580017</v>
      </c>
      <c r="L625" s="0" t="n">
        <f aca="false">K625*I625</f>
        <v>0.0327317253644372</v>
      </c>
    </row>
    <row r="626" customFormat="false" ht="12.8" hidden="false" customHeight="false" outlineLevel="0" collapsed="false">
      <c r="A626" s="0" t="n">
        <v>624</v>
      </c>
      <c r="B626" s="0" t="n">
        <f aca="false">calc_cohort!D$2+constant!$B$1*A626</f>
        <v>83.2</v>
      </c>
      <c r="C626" s="0" t="n">
        <f aca="false">_xlfn.FLOOR.MATH(B626)</f>
        <v>83</v>
      </c>
      <c r="D626" s="4" t="n">
        <f aca="false">INDEX(table_mortality_rate!$A$1:$C$2000,MATCH(C626,table_mortality_rate!$A$1:$A$2000,0),MATCH(calc_cohort!$E$2,table_mortality_rate!A$1:C$1,0))</f>
        <v>0.092117</v>
      </c>
      <c r="E626" s="0" t="n">
        <f aca="false">(1-D626)^constant!$B$1</f>
        <v>0.991979027445187</v>
      </c>
      <c r="F626" s="0" t="n">
        <f aca="false">IF(A626=0,1,F625*E626)</f>
        <v>0.408219514659726</v>
      </c>
      <c r="G626" s="5" t="b">
        <f aca="false">B626&gt;=calc_cohort!C$2</f>
        <v>1</v>
      </c>
      <c r="H626" s="0" t="n">
        <f aca="false">IF(G626,1,0)</f>
        <v>1</v>
      </c>
      <c r="I626" s="0" t="n">
        <f aca="false">calc_cohort!$B$2*constant!$B$1*F626*H626</f>
        <v>0.419785734241752</v>
      </c>
      <c r="J626" s="0" t="n">
        <f aca="false">INDEX(table_spot_rate!B$1:B$2000,MATCH(A626,table_spot_rate!A$1:A$2000,0))</f>
        <v>0.0521046840468554</v>
      </c>
      <c r="K626" s="0" t="n">
        <f aca="false">(1+J626)^(-A626*constant!$B$1)</f>
        <v>0.071274533905979</v>
      </c>
      <c r="L626" s="0" t="n">
        <f aca="false">K626*I626</f>
        <v>0.02992003254846</v>
      </c>
    </row>
    <row r="627" customFormat="false" ht="12.8" hidden="false" customHeight="false" outlineLevel="0" collapsed="false">
      <c r="A627" s="0" t="n">
        <v>625</v>
      </c>
      <c r="B627" s="0" t="n">
        <f aca="false">calc_cohort!D$2+constant!$B$1*A627</f>
        <v>83.2833333333333</v>
      </c>
      <c r="C627" s="0" t="n">
        <f aca="false">_xlfn.FLOOR.MATH(B627)</f>
        <v>83</v>
      </c>
      <c r="D627" s="4" t="n">
        <f aca="false">INDEX(table_mortality_rate!$A$1:$C$2000,MATCH(C627,table_mortality_rate!$A$1:$A$2000,0),MATCH(calc_cohort!$E$2,table_mortality_rate!A$1:C$1,0))</f>
        <v>0.092117</v>
      </c>
      <c r="E627" s="0" t="n">
        <f aca="false">(1-D627)^constant!$B$1</f>
        <v>0.991979027445187</v>
      </c>
      <c r="F627" s="0" t="n">
        <f aca="false">IF(A627=0,1,F626*E627)</f>
        <v>0.404945197136302</v>
      </c>
      <c r="G627" s="5" t="b">
        <f aca="false">B627&gt;=calc_cohort!C$2</f>
        <v>1</v>
      </c>
      <c r="H627" s="0" t="n">
        <f aca="false">IF(G627,1,0)</f>
        <v>1</v>
      </c>
      <c r="I627" s="0" t="n">
        <f aca="false">calc_cohort!$B$2*constant!$B$1*F627*H627</f>
        <v>0.416418644388497</v>
      </c>
      <c r="J627" s="0" t="n">
        <f aca="false">INDEX(table_spot_rate!B$1:B$2000,MATCH(A627,table_spot_rate!A$1:A$2000,0))</f>
        <v>0.0533572195273622</v>
      </c>
      <c r="K627" s="0" t="n">
        <f aca="false">(1+J627)^(-A627*constant!$B$1)</f>
        <v>0.0667088620320482</v>
      </c>
      <c r="L627" s="0" t="n">
        <f aca="false">K627*I627</f>
        <v>0.0277788138960848</v>
      </c>
    </row>
    <row r="628" customFormat="false" ht="12.8" hidden="false" customHeight="false" outlineLevel="0" collapsed="false">
      <c r="A628" s="0" t="n">
        <v>626</v>
      </c>
      <c r="B628" s="0" t="n">
        <f aca="false">calc_cohort!D$2+constant!$B$1*A628</f>
        <v>83.3666666666667</v>
      </c>
      <c r="C628" s="0" t="n">
        <f aca="false">_xlfn.FLOOR.MATH(B628)</f>
        <v>83</v>
      </c>
      <c r="D628" s="4" t="n">
        <f aca="false">INDEX(table_mortality_rate!$A$1:$C$2000,MATCH(C628,table_mortality_rate!$A$1:$A$2000,0),MATCH(calc_cohort!$E$2,table_mortality_rate!A$1:C$1,0))</f>
        <v>0.092117</v>
      </c>
      <c r="E628" s="0" t="n">
        <f aca="false">(1-D628)^constant!$B$1</f>
        <v>0.991979027445187</v>
      </c>
      <c r="F628" s="0" t="n">
        <f aca="false">IF(A628=0,1,F627*E628)</f>
        <v>0.401697142823868</v>
      </c>
      <c r="G628" s="5" t="b">
        <f aca="false">B628&gt;=calc_cohort!C$2</f>
        <v>1</v>
      </c>
      <c r="H628" s="0" t="n">
        <f aca="false">IF(G628,1,0)</f>
        <v>1</v>
      </c>
      <c r="I628" s="0" t="n">
        <f aca="false">calc_cohort!$B$2*constant!$B$1*F628*H628</f>
        <v>0.413078561870544</v>
      </c>
      <c r="J628" s="0" t="n">
        <f aca="false">INDEX(table_spot_rate!B$1:B$2000,MATCH(A628,table_spot_rate!A$1:A$2000,0))</f>
        <v>0.0513307977698243</v>
      </c>
      <c r="K628" s="0" t="n">
        <f aca="false">(1+J628)^(-A628*constant!$B$1)</f>
        <v>0.0734393208984677</v>
      </c>
      <c r="L628" s="0" t="n">
        <f aca="false">K628*I628</f>
        <v>0.0303362090614885</v>
      </c>
    </row>
    <row r="629" customFormat="false" ht="12.8" hidden="false" customHeight="false" outlineLevel="0" collapsed="false">
      <c r="A629" s="0" t="n">
        <v>627</v>
      </c>
      <c r="B629" s="0" t="n">
        <f aca="false">calc_cohort!D$2+constant!$B$1*A629</f>
        <v>83.45</v>
      </c>
      <c r="C629" s="0" t="n">
        <f aca="false">_xlfn.FLOOR.MATH(B629)</f>
        <v>83</v>
      </c>
      <c r="D629" s="4" t="n">
        <f aca="false">INDEX(table_mortality_rate!$A$1:$C$2000,MATCH(C629,table_mortality_rate!$A$1:$A$2000,0),MATCH(calc_cohort!$E$2,table_mortality_rate!A$1:C$1,0))</f>
        <v>0.092117</v>
      </c>
      <c r="E629" s="0" t="n">
        <f aca="false">(1-D629)^constant!$B$1</f>
        <v>0.991979027445187</v>
      </c>
      <c r="F629" s="0" t="n">
        <f aca="false">IF(A629=0,1,F628*E629)</f>
        <v>0.398475141065931</v>
      </c>
      <c r="G629" s="5" t="b">
        <f aca="false">B629&gt;=calc_cohort!C$2</f>
        <v>1</v>
      </c>
      <c r="H629" s="0" t="n">
        <f aca="false">IF(G629,1,0)</f>
        <v>1</v>
      </c>
      <c r="I629" s="0" t="n">
        <f aca="false">calc_cohort!$B$2*constant!$B$1*F629*H629</f>
        <v>0.409765270062799</v>
      </c>
      <c r="J629" s="0" t="n">
        <f aca="false">INDEX(table_spot_rate!B$1:B$2000,MATCH(A629,table_spot_rate!A$1:A$2000,0))</f>
        <v>0.0584305298434962</v>
      </c>
      <c r="K629" s="0" t="n">
        <f aca="false">(1+J629)^(-A629*constant!$B$1)</f>
        <v>0.0514507578938668</v>
      </c>
      <c r="L629" s="0" t="n">
        <f aca="false">K629*I629</f>
        <v>0.021082733703316</v>
      </c>
    </row>
    <row r="630" customFormat="false" ht="12.8" hidden="false" customHeight="false" outlineLevel="0" collapsed="false">
      <c r="A630" s="0" t="n">
        <v>628</v>
      </c>
      <c r="B630" s="0" t="n">
        <f aca="false">calc_cohort!D$2+constant!$B$1*A630</f>
        <v>83.5333333333333</v>
      </c>
      <c r="C630" s="0" t="n">
        <f aca="false">_xlfn.FLOOR.MATH(B630)</f>
        <v>83</v>
      </c>
      <c r="D630" s="4" t="n">
        <f aca="false">INDEX(table_mortality_rate!$A$1:$C$2000,MATCH(C630,table_mortality_rate!$A$1:$A$2000,0),MATCH(calc_cohort!$E$2,table_mortality_rate!A$1:C$1,0))</f>
        <v>0.092117</v>
      </c>
      <c r="E630" s="0" t="n">
        <f aca="false">(1-D630)^constant!$B$1</f>
        <v>0.991979027445187</v>
      </c>
      <c r="F630" s="0" t="n">
        <f aca="false">IF(A630=0,1,F629*E630)</f>
        <v>0.395278982895666</v>
      </c>
      <c r="G630" s="5" t="b">
        <f aca="false">B630&gt;=calc_cohort!C$2</f>
        <v>1</v>
      </c>
      <c r="H630" s="0" t="n">
        <f aca="false">IF(G630,1,0)</f>
        <v>1</v>
      </c>
      <c r="I630" s="0" t="n">
        <f aca="false">calc_cohort!$B$2*constant!$B$1*F630*H630</f>
        <v>0.40647855407771</v>
      </c>
      <c r="J630" s="0" t="n">
        <f aca="false">INDEX(table_spot_rate!B$1:B$2000,MATCH(A630,table_spot_rate!A$1:A$2000,0))</f>
        <v>0.0558965005766783</v>
      </c>
      <c r="K630" s="0" t="n">
        <f aca="false">(1+J630)^(-A630*constant!$B$1)</f>
        <v>0.0580518397381265</v>
      </c>
      <c r="L630" s="0" t="n">
        <f aca="false">K630*I630</f>
        <v>0.0235968278783046</v>
      </c>
    </row>
    <row r="631" customFormat="false" ht="12.8" hidden="false" customHeight="false" outlineLevel="0" collapsed="false">
      <c r="A631" s="0" t="n">
        <v>629</v>
      </c>
      <c r="B631" s="0" t="n">
        <f aca="false">calc_cohort!D$2+constant!$B$1*A631</f>
        <v>83.6166666666667</v>
      </c>
      <c r="C631" s="0" t="n">
        <f aca="false">_xlfn.FLOOR.MATH(B631)</f>
        <v>83</v>
      </c>
      <c r="D631" s="4" t="n">
        <f aca="false">INDEX(table_mortality_rate!$A$1:$C$2000,MATCH(C631,table_mortality_rate!$A$1:$A$2000,0),MATCH(calc_cohort!$E$2,table_mortality_rate!A$1:C$1,0))</f>
        <v>0.092117</v>
      </c>
      <c r="E631" s="0" t="n">
        <f aca="false">(1-D631)^constant!$B$1</f>
        <v>0.991979027445187</v>
      </c>
      <c r="F631" s="0" t="n">
        <f aca="false">IF(A631=0,1,F630*E631)</f>
        <v>0.392108461022366</v>
      </c>
      <c r="G631" s="5" t="b">
        <f aca="false">B631&gt;=calc_cohort!C$2</f>
        <v>1</v>
      </c>
      <c r="H631" s="0" t="n">
        <f aca="false">IF(G631,1,0)</f>
        <v>1</v>
      </c>
      <c r="I631" s="0" t="n">
        <f aca="false">calc_cohort!$B$2*constant!$B$1*F631*H631</f>
        <v>0.403218200751333</v>
      </c>
      <c r="J631" s="0" t="n">
        <f aca="false">INDEX(table_spot_rate!B$1:B$2000,MATCH(A631,table_spot_rate!A$1:A$2000,0))</f>
        <v>0.0516547799492642</v>
      </c>
      <c r="K631" s="0" t="n">
        <f aca="false">(1+J631)^(-A631*constant!$B$1)</f>
        <v>0.0713640946721649</v>
      </c>
      <c r="L631" s="0" t="n">
        <f aca="false">K631*I631</f>
        <v>0.0287753018519581</v>
      </c>
    </row>
    <row r="632" customFormat="false" ht="12.8" hidden="false" customHeight="false" outlineLevel="0" collapsed="false">
      <c r="A632" s="0" t="n">
        <v>630</v>
      </c>
      <c r="B632" s="0" t="n">
        <f aca="false">calc_cohort!D$2+constant!$B$1*A632</f>
        <v>83.7</v>
      </c>
      <c r="C632" s="0" t="n">
        <f aca="false">_xlfn.FLOOR.MATH(B632)</f>
        <v>83</v>
      </c>
      <c r="D632" s="4" t="n">
        <f aca="false">INDEX(table_mortality_rate!$A$1:$C$2000,MATCH(C632,table_mortality_rate!$A$1:$A$2000,0),MATCH(calc_cohort!$E$2,table_mortality_rate!A$1:C$1,0))</f>
        <v>0.092117</v>
      </c>
      <c r="E632" s="0" t="n">
        <f aca="false">(1-D632)^constant!$B$1</f>
        <v>0.991979027445187</v>
      </c>
      <c r="F632" s="0" t="n">
        <f aca="false">IF(A632=0,1,F631*E632)</f>
        <v>0.388963369817996</v>
      </c>
      <c r="G632" s="5" t="b">
        <f aca="false">B632&gt;=calc_cohort!C$2</f>
        <v>1</v>
      </c>
      <c r="H632" s="0" t="n">
        <f aca="false">IF(G632,1,0)</f>
        <v>1</v>
      </c>
      <c r="I632" s="0" t="n">
        <f aca="false">calc_cohort!$B$2*constant!$B$1*F632*H632</f>
        <v>0.399983998629506</v>
      </c>
      <c r="J632" s="0" t="n">
        <f aca="false">INDEX(table_spot_rate!B$1:B$2000,MATCH(A632,table_spot_rate!A$1:A$2000,0))</f>
        <v>0.0582545362778929</v>
      </c>
      <c r="K632" s="0" t="n">
        <f aca="false">(1+J632)^(-A632*constant!$B$1)</f>
        <v>0.05117027063766</v>
      </c>
      <c r="L632" s="0" t="n">
        <f aca="false">K632*I632</f>
        <v>0.0204672894606052</v>
      </c>
    </row>
    <row r="633" customFormat="false" ht="12.8" hidden="false" customHeight="false" outlineLevel="0" collapsed="false">
      <c r="A633" s="0" t="n">
        <v>631</v>
      </c>
      <c r="B633" s="0" t="n">
        <f aca="false">calc_cohort!D$2+constant!$B$1*A633</f>
        <v>83.7833333333333</v>
      </c>
      <c r="C633" s="0" t="n">
        <f aca="false">_xlfn.FLOOR.MATH(B633)</f>
        <v>83</v>
      </c>
      <c r="D633" s="4" t="n">
        <f aca="false">INDEX(table_mortality_rate!$A$1:$C$2000,MATCH(C633,table_mortality_rate!$A$1:$A$2000,0),MATCH(calc_cohort!$E$2,table_mortality_rate!A$1:C$1,0))</f>
        <v>0.092117</v>
      </c>
      <c r="E633" s="0" t="n">
        <f aca="false">(1-D633)^constant!$B$1</f>
        <v>0.991979027445187</v>
      </c>
      <c r="F633" s="0" t="n">
        <f aca="false">IF(A633=0,1,F632*E633)</f>
        <v>0.385843505303858</v>
      </c>
      <c r="G633" s="5" t="b">
        <f aca="false">B633&gt;=calc_cohort!C$2</f>
        <v>1</v>
      </c>
      <c r="H633" s="0" t="n">
        <f aca="false">IF(G633,1,0)</f>
        <v>1</v>
      </c>
      <c r="I633" s="0" t="n">
        <f aca="false">calc_cohort!$B$2*constant!$B$1*F633*H633</f>
        <v>0.396775737954134</v>
      </c>
      <c r="J633" s="0" t="n">
        <f aca="false">INDEX(table_spot_rate!B$1:B$2000,MATCH(A633,table_spot_rate!A$1:A$2000,0))</f>
        <v>0.0591587334463866</v>
      </c>
      <c r="K633" s="0" t="n">
        <f aca="false">(1+J633)^(-A633*constant!$B$1)</f>
        <v>0.0486927949033503</v>
      </c>
      <c r="L633" s="0" t="n">
        <f aca="false">K633*I633</f>
        <v>0.0193201196308261</v>
      </c>
    </row>
    <row r="634" customFormat="false" ht="12.8" hidden="false" customHeight="false" outlineLevel="0" collapsed="false">
      <c r="A634" s="0" t="n">
        <v>632</v>
      </c>
      <c r="B634" s="0" t="n">
        <f aca="false">calc_cohort!D$2+constant!$B$1*A634</f>
        <v>83.8666666666667</v>
      </c>
      <c r="C634" s="0" t="n">
        <f aca="false">_xlfn.FLOOR.MATH(B634)</f>
        <v>83</v>
      </c>
      <c r="D634" s="4" t="n">
        <f aca="false">INDEX(table_mortality_rate!$A$1:$C$2000,MATCH(C634,table_mortality_rate!$A$1:$A$2000,0),MATCH(calc_cohort!$E$2,table_mortality_rate!A$1:C$1,0))</f>
        <v>0.092117</v>
      </c>
      <c r="E634" s="0" t="n">
        <f aca="false">(1-D634)^constant!$B$1</f>
        <v>0.991979027445187</v>
      </c>
      <c r="F634" s="0" t="n">
        <f aca="false">IF(A634=0,1,F633*E634)</f>
        <v>0.382748665137363</v>
      </c>
      <c r="G634" s="5" t="b">
        <f aca="false">B634&gt;=calc_cohort!C$2</f>
        <v>1</v>
      </c>
      <c r="H634" s="0" t="n">
        <f aca="false">IF(G634,1,0)</f>
        <v>1</v>
      </c>
      <c r="I634" s="0" t="n">
        <f aca="false">calc_cohort!$B$2*constant!$B$1*F634*H634</f>
        <v>0.393593210649589</v>
      </c>
      <c r="J634" s="0" t="n">
        <f aca="false">INDEX(table_spot_rate!B$1:B$2000,MATCH(A634,table_spot_rate!A$1:A$2000,0))</f>
        <v>0.0549803923268579</v>
      </c>
      <c r="K634" s="0" t="n">
        <f aca="false">(1+J634)^(-A634*constant!$B$1)</f>
        <v>0.0596754312038541</v>
      </c>
      <c r="L634" s="0" t="n">
        <f aca="false">K634*I634</f>
        <v>0.0234878445644236</v>
      </c>
    </row>
    <row r="635" customFormat="false" ht="12.8" hidden="false" customHeight="false" outlineLevel="0" collapsed="false">
      <c r="A635" s="0" t="n">
        <v>633</v>
      </c>
      <c r="B635" s="0" t="n">
        <f aca="false">calc_cohort!D$2+constant!$B$1*A635</f>
        <v>83.95</v>
      </c>
      <c r="C635" s="0" t="n">
        <f aca="false">_xlfn.FLOOR.MATH(B635)</f>
        <v>83</v>
      </c>
      <c r="D635" s="4" t="n">
        <f aca="false">INDEX(table_mortality_rate!$A$1:$C$2000,MATCH(C635,table_mortality_rate!$A$1:$A$2000,0),MATCH(calc_cohort!$E$2,table_mortality_rate!A$1:C$1,0))</f>
        <v>0.092117</v>
      </c>
      <c r="E635" s="0" t="n">
        <f aca="false">(1-D635)^constant!$B$1</f>
        <v>0.991979027445187</v>
      </c>
      <c r="F635" s="0" t="n">
        <f aca="false">IF(A635=0,1,F634*E635)</f>
        <v>0.379678648598905</v>
      </c>
      <c r="G635" s="5" t="b">
        <f aca="false">B635&gt;=calc_cohort!C$2</f>
        <v>1</v>
      </c>
      <c r="H635" s="0" t="n">
        <f aca="false">IF(G635,1,0)</f>
        <v>1</v>
      </c>
      <c r="I635" s="0" t="n">
        <f aca="false">calc_cohort!$B$2*constant!$B$1*F635*H635</f>
        <v>0.390436210309208</v>
      </c>
      <c r="J635" s="0" t="n">
        <f aca="false">INDEX(table_spot_rate!B$1:B$2000,MATCH(A635,table_spot_rate!A$1:A$2000,0))</f>
        <v>0.0599288462710214</v>
      </c>
      <c r="K635" s="0" t="n">
        <f aca="false">(1+J635)^(-A635*constant!$B$1)</f>
        <v>0.0464144762722743</v>
      </c>
      <c r="L635" s="0" t="n">
        <f aca="false">K635*I635</f>
        <v>0.0181218922192334</v>
      </c>
    </row>
    <row r="636" customFormat="false" ht="12.8" hidden="false" customHeight="false" outlineLevel="0" collapsed="false">
      <c r="A636" s="0" t="n">
        <v>634</v>
      </c>
      <c r="B636" s="0" t="n">
        <f aca="false">calc_cohort!D$2+constant!$B$1*A636</f>
        <v>84.0333333333333</v>
      </c>
      <c r="C636" s="0" t="n">
        <f aca="false">_xlfn.FLOOR.MATH(B636)</f>
        <v>84</v>
      </c>
      <c r="D636" s="4" t="n">
        <f aca="false">INDEX(table_mortality_rate!$A$1:$C$2000,MATCH(C636,table_mortality_rate!$A$1:$A$2000,0),MATCH(calc_cohort!$E$2,table_mortality_rate!A$1:C$1,0))</f>
        <v>0.101007</v>
      </c>
      <c r="E636" s="0" t="n">
        <f aca="false">(1-D636)^constant!$B$1</f>
        <v>0.991165915946827</v>
      </c>
      <c r="F636" s="0" t="n">
        <f aca="false">IF(A636=0,1,F635*E636)</f>
        <v>0.376324535503987</v>
      </c>
      <c r="G636" s="5" t="b">
        <f aca="false">B636&gt;=calc_cohort!C$2</f>
        <v>1</v>
      </c>
      <c r="H636" s="0" t="n">
        <f aca="false">IF(G636,1,0)</f>
        <v>1</v>
      </c>
      <c r="I636" s="0" t="n">
        <f aca="false">calc_cohort!$B$2*constant!$B$1*F636*H636</f>
        <v>0.386987064009934</v>
      </c>
      <c r="J636" s="0" t="n">
        <f aca="false">INDEX(table_spot_rate!B$1:B$2000,MATCH(A636,table_spot_rate!A$1:A$2000,0))</f>
        <v>0.0504606299035163</v>
      </c>
      <c r="K636" s="0" t="n">
        <f aca="false">(1+J636)^(-A636*constant!$B$1)</f>
        <v>0.0742053038169099</v>
      </c>
      <c r="L636" s="0" t="n">
        <f aca="false">K636*I636</f>
        <v>0.0287164926580711</v>
      </c>
    </row>
    <row r="637" customFormat="false" ht="12.8" hidden="false" customHeight="false" outlineLevel="0" collapsed="false">
      <c r="A637" s="0" t="n">
        <v>635</v>
      </c>
      <c r="B637" s="0" t="n">
        <f aca="false">calc_cohort!D$2+constant!$B$1*A637</f>
        <v>84.1166666666667</v>
      </c>
      <c r="C637" s="0" t="n">
        <f aca="false">_xlfn.FLOOR.MATH(B637)</f>
        <v>84</v>
      </c>
      <c r="D637" s="4" t="n">
        <f aca="false">INDEX(table_mortality_rate!$A$1:$C$2000,MATCH(C637,table_mortality_rate!$A$1:$A$2000,0),MATCH(calc_cohort!$E$2,table_mortality_rate!A$1:C$1,0))</f>
        <v>0.101007</v>
      </c>
      <c r="E637" s="0" t="n">
        <f aca="false">(1-D637)^constant!$B$1</f>
        <v>0.991165915946827</v>
      </c>
      <c r="F637" s="0" t="n">
        <f aca="false">IF(A637=0,1,F636*E637)</f>
        <v>0.373000052926074</v>
      </c>
      <c r="G637" s="5" t="b">
        <f aca="false">B637&gt;=calc_cohort!C$2</f>
        <v>1</v>
      </c>
      <c r="H637" s="0" t="n">
        <f aca="false">IF(G637,1,0)</f>
        <v>1</v>
      </c>
      <c r="I637" s="0" t="n">
        <f aca="false">calc_cohort!$B$2*constant!$B$1*F637*H637</f>
        <v>0.383568387758979</v>
      </c>
      <c r="J637" s="0" t="n">
        <f aca="false">INDEX(table_spot_rate!B$1:B$2000,MATCH(A637,table_spot_rate!A$1:A$2000,0))</f>
        <v>0.0540638106374767</v>
      </c>
      <c r="K637" s="0" t="n">
        <f aca="false">(1+J637)^(-A637*constant!$B$1)</f>
        <v>0.0616537820369537</v>
      </c>
      <c r="L637" s="0" t="n">
        <f aca="false">K637*I637</f>
        <v>0.0236484417751578</v>
      </c>
    </row>
    <row r="638" customFormat="false" ht="12.8" hidden="false" customHeight="false" outlineLevel="0" collapsed="false">
      <c r="A638" s="0" t="n">
        <v>636</v>
      </c>
      <c r="B638" s="0" t="n">
        <f aca="false">calc_cohort!D$2+constant!$B$1*A638</f>
        <v>84.2</v>
      </c>
      <c r="C638" s="0" t="n">
        <f aca="false">_xlfn.FLOOR.MATH(B638)</f>
        <v>84</v>
      </c>
      <c r="D638" s="4" t="n">
        <f aca="false">INDEX(table_mortality_rate!$A$1:$C$2000,MATCH(C638,table_mortality_rate!$A$1:$A$2000,0),MATCH(calc_cohort!$E$2,table_mortality_rate!A$1:C$1,0))</f>
        <v>0.101007</v>
      </c>
      <c r="E638" s="0" t="n">
        <f aca="false">(1-D638)^constant!$B$1</f>
        <v>0.991165915946827</v>
      </c>
      <c r="F638" s="0" t="n">
        <f aca="false">IF(A638=0,1,F637*E638)</f>
        <v>0.369704939106686</v>
      </c>
      <c r="G638" s="5" t="b">
        <f aca="false">B638&gt;=calc_cohort!C$2</f>
        <v>1</v>
      </c>
      <c r="H638" s="0" t="n">
        <f aca="false">IF(G638,1,0)</f>
        <v>1</v>
      </c>
      <c r="I638" s="0" t="n">
        <f aca="false">calc_cohort!$B$2*constant!$B$1*F638*H638</f>
        <v>0.380179912381376</v>
      </c>
      <c r="J638" s="0" t="n">
        <f aca="false">INDEX(table_spot_rate!B$1:B$2000,MATCH(A638,table_spot_rate!A$1:A$2000,0))</f>
        <v>0.0571271588171796</v>
      </c>
      <c r="K638" s="0" t="n">
        <f aca="false">(1+J638)^(-A638*constant!$B$1)</f>
        <v>0.0526328374615955</v>
      </c>
      <c r="L638" s="0" t="n">
        <f aca="false">K638*I638</f>
        <v>0.0200099475345326</v>
      </c>
    </row>
    <row r="639" customFormat="false" ht="12.8" hidden="false" customHeight="false" outlineLevel="0" collapsed="false">
      <c r="A639" s="0" t="n">
        <v>637</v>
      </c>
      <c r="B639" s="0" t="n">
        <f aca="false">calc_cohort!D$2+constant!$B$1*A639</f>
        <v>84.2833333333333</v>
      </c>
      <c r="C639" s="0" t="n">
        <f aca="false">_xlfn.FLOOR.MATH(B639)</f>
        <v>84</v>
      </c>
      <c r="D639" s="4" t="n">
        <f aca="false">INDEX(table_mortality_rate!$A$1:$C$2000,MATCH(C639,table_mortality_rate!$A$1:$A$2000,0),MATCH(calc_cohort!$E$2,table_mortality_rate!A$1:C$1,0))</f>
        <v>0.101007</v>
      </c>
      <c r="E639" s="0" t="n">
        <f aca="false">(1-D639)^constant!$B$1</f>
        <v>0.991165915946827</v>
      </c>
      <c r="F639" s="0" t="n">
        <f aca="false">IF(A639=0,1,F638*E639)</f>
        <v>0.366438934599745</v>
      </c>
      <c r="G639" s="5" t="b">
        <f aca="false">B639&gt;=calc_cohort!C$2</f>
        <v>1</v>
      </c>
      <c r="H639" s="0" t="n">
        <f aca="false">IF(G639,1,0)</f>
        <v>1</v>
      </c>
      <c r="I639" s="0" t="n">
        <f aca="false">calc_cohort!$B$2*constant!$B$1*F639*H639</f>
        <v>0.376821371080071</v>
      </c>
      <c r="J639" s="0" t="n">
        <f aca="false">INDEX(table_spot_rate!B$1:B$2000,MATCH(A639,table_spot_rate!A$1:A$2000,0))</f>
        <v>0.0596687533755557</v>
      </c>
      <c r="K639" s="0" t="n">
        <f aca="false">(1+J639)^(-A639*constant!$B$1)</f>
        <v>0.0461196160866028</v>
      </c>
      <c r="L639" s="0" t="n">
        <f aca="false">K639*I639</f>
        <v>0.0173788569674402</v>
      </c>
    </row>
    <row r="640" customFormat="false" ht="12.8" hidden="false" customHeight="false" outlineLevel="0" collapsed="false">
      <c r="A640" s="0" t="n">
        <v>638</v>
      </c>
      <c r="B640" s="0" t="n">
        <f aca="false">calc_cohort!D$2+constant!$B$1*A640</f>
        <v>84.3666666666667</v>
      </c>
      <c r="C640" s="0" t="n">
        <f aca="false">_xlfn.FLOOR.MATH(B640)</f>
        <v>84</v>
      </c>
      <c r="D640" s="4" t="n">
        <f aca="false">INDEX(table_mortality_rate!$A$1:$C$2000,MATCH(C640,table_mortality_rate!$A$1:$A$2000,0),MATCH(calc_cohort!$E$2,table_mortality_rate!A$1:C$1,0))</f>
        <v>0.101007</v>
      </c>
      <c r="E640" s="0" t="n">
        <f aca="false">(1-D640)^constant!$B$1</f>
        <v>0.991165915946827</v>
      </c>
      <c r="F640" s="0" t="n">
        <f aca="false">IF(A640=0,1,F639*E640)</f>
        <v>0.363201782251135</v>
      </c>
      <c r="G640" s="5" t="b">
        <f aca="false">B640&gt;=calc_cohort!C$2</f>
        <v>1</v>
      </c>
      <c r="H640" s="0" t="n">
        <f aca="false">IF(G640,1,0)</f>
        <v>1</v>
      </c>
      <c r="I640" s="0" t="n">
        <f aca="false">calc_cohort!$B$2*constant!$B$1*F640*H640</f>
        <v>0.373492499414917</v>
      </c>
      <c r="J640" s="0" t="n">
        <f aca="false">INDEX(table_spot_rate!B$1:B$2000,MATCH(A640,table_spot_rate!A$1:A$2000,0))</f>
        <v>0.0568868265382968</v>
      </c>
      <c r="K640" s="0" t="n">
        <f aca="false">(1+J640)^(-A640*constant!$B$1)</f>
        <v>0.0527819660137467</v>
      </c>
      <c r="L640" s="0" t="n">
        <f aca="false">K640*I640</f>
        <v>0.0197136684105075</v>
      </c>
    </row>
    <row r="641" customFormat="false" ht="12.8" hidden="false" customHeight="false" outlineLevel="0" collapsed="false">
      <c r="A641" s="0" t="n">
        <v>639</v>
      </c>
      <c r="B641" s="0" t="n">
        <f aca="false">calc_cohort!D$2+constant!$B$1*A641</f>
        <v>84.45</v>
      </c>
      <c r="C641" s="0" t="n">
        <f aca="false">_xlfn.FLOOR.MATH(B641)</f>
        <v>84</v>
      </c>
      <c r="D641" s="4" t="n">
        <f aca="false">INDEX(table_mortality_rate!$A$1:$C$2000,MATCH(C641,table_mortality_rate!$A$1:$A$2000,0),MATCH(calc_cohort!$E$2,table_mortality_rate!A$1:C$1,0))</f>
        <v>0.101007</v>
      </c>
      <c r="E641" s="0" t="n">
        <f aca="false">(1-D641)^constant!$B$1</f>
        <v>0.991165915946827</v>
      </c>
      <c r="F641" s="0" t="n">
        <f aca="false">IF(A641=0,1,F640*E641)</f>
        <v>0.359993227178466</v>
      </c>
      <c r="G641" s="5" t="b">
        <f aca="false">B641&gt;=calc_cohort!C$2</f>
        <v>1</v>
      </c>
      <c r="H641" s="0" t="n">
        <f aca="false">IF(G641,1,0)</f>
        <v>1</v>
      </c>
      <c r="I641" s="0" t="n">
        <f aca="false">calc_cohort!$B$2*constant!$B$1*F641*H641</f>
        <v>0.370193035281856</v>
      </c>
      <c r="J641" s="0" t="n">
        <f aca="false">INDEX(table_spot_rate!B$1:B$2000,MATCH(A641,table_spot_rate!A$1:A$2000,0))</f>
        <v>0.0515252113493482</v>
      </c>
      <c r="K641" s="0" t="n">
        <f aca="false">(1+J641)^(-A641*constant!$B$1)</f>
        <v>0.068881329188285</v>
      </c>
      <c r="L641" s="0" t="n">
        <f aca="false">K641*I641</f>
        <v>0.0254993883264599</v>
      </c>
    </row>
    <row r="642" customFormat="false" ht="12.8" hidden="false" customHeight="false" outlineLevel="0" collapsed="false">
      <c r="A642" s="0" t="n">
        <v>640</v>
      </c>
      <c r="B642" s="0" t="n">
        <f aca="false">calc_cohort!D$2+constant!$B$1*A642</f>
        <v>84.5333333333333</v>
      </c>
      <c r="C642" s="0" t="n">
        <f aca="false">_xlfn.FLOOR.MATH(B642)</f>
        <v>84</v>
      </c>
      <c r="D642" s="4" t="n">
        <f aca="false">INDEX(table_mortality_rate!$A$1:$C$2000,MATCH(C642,table_mortality_rate!$A$1:$A$2000,0),MATCH(calc_cohort!$E$2,table_mortality_rate!A$1:C$1,0))</f>
        <v>0.101007</v>
      </c>
      <c r="E642" s="0" t="n">
        <f aca="false">(1-D642)^constant!$B$1</f>
        <v>0.991165915946827</v>
      </c>
      <c r="F642" s="0" t="n">
        <f aca="false">IF(A642=0,1,F641*E642)</f>
        <v>0.356813016750998</v>
      </c>
      <c r="G642" s="5" t="b">
        <f aca="false">B642&gt;=calc_cohort!C$2</f>
        <v>1</v>
      </c>
      <c r="H642" s="0" t="n">
        <f aca="false">IF(G642,1,0)</f>
        <v>1</v>
      </c>
      <c r="I642" s="0" t="n">
        <f aca="false">calc_cohort!$B$2*constant!$B$1*F642*H642</f>
        <v>0.366922718892277</v>
      </c>
      <c r="J642" s="0" t="n">
        <f aca="false">INDEX(table_spot_rate!B$1:B$2000,MATCH(A642,table_spot_rate!A$1:A$2000,0))</f>
        <v>0.0509395761920008</v>
      </c>
      <c r="K642" s="0" t="n">
        <f aca="false">(1+J642)^(-A642*constant!$B$1)</f>
        <v>0.070662146899683</v>
      </c>
      <c r="L642" s="0" t="n">
        <f aca="false">K642*I642</f>
        <v>0.0259275470631971</v>
      </c>
    </row>
    <row r="643" customFormat="false" ht="12.8" hidden="false" customHeight="false" outlineLevel="0" collapsed="false">
      <c r="A643" s="0" t="n">
        <v>641</v>
      </c>
      <c r="B643" s="0" t="n">
        <f aca="false">calc_cohort!D$2+constant!$B$1*A643</f>
        <v>84.6166666666667</v>
      </c>
      <c r="C643" s="0" t="n">
        <f aca="false">_xlfn.FLOOR.MATH(B643)</f>
        <v>84</v>
      </c>
      <c r="D643" s="4" t="n">
        <f aca="false">INDEX(table_mortality_rate!$A$1:$C$2000,MATCH(C643,table_mortality_rate!$A$1:$A$2000,0),MATCH(calc_cohort!$E$2,table_mortality_rate!A$1:C$1,0))</f>
        <v>0.101007</v>
      </c>
      <c r="E643" s="0" t="n">
        <f aca="false">(1-D643)^constant!$B$1</f>
        <v>0.991165915946827</v>
      </c>
      <c r="F643" s="0" t="n">
        <f aca="false">IF(A643=0,1,F642*E643)</f>
        <v>0.353660900569754</v>
      </c>
      <c r="G643" s="5" t="b">
        <f aca="false">B643&gt;=calc_cohort!C$2</f>
        <v>1</v>
      </c>
      <c r="H643" s="0" t="n">
        <f aca="false">IF(G643,1,0)</f>
        <v>1</v>
      </c>
      <c r="I643" s="0" t="n">
        <f aca="false">calc_cohort!$B$2*constant!$B$1*F643*H643</f>
        <v>0.363681292752563</v>
      </c>
      <c r="J643" s="0" t="n">
        <f aca="false">INDEX(table_spot_rate!B$1:B$2000,MATCH(A643,table_spot_rate!A$1:A$2000,0))</f>
        <v>0.0562311226322216</v>
      </c>
      <c r="K643" s="0" t="n">
        <f aca="false">(1+J643)^(-A643*constant!$B$1)</f>
        <v>0.0538115554026246</v>
      </c>
      <c r="L643" s="0" t="n">
        <f aca="false">K643*I643</f>
        <v>0.0195702560338527</v>
      </c>
    </row>
    <row r="644" customFormat="false" ht="12.8" hidden="false" customHeight="false" outlineLevel="0" collapsed="false">
      <c r="A644" s="0" t="n">
        <v>642</v>
      </c>
      <c r="B644" s="0" t="n">
        <f aca="false">calc_cohort!D$2+constant!$B$1*A644</f>
        <v>84.7</v>
      </c>
      <c r="C644" s="0" t="n">
        <f aca="false">_xlfn.FLOOR.MATH(B644)</f>
        <v>84</v>
      </c>
      <c r="D644" s="4" t="n">
        <f aca="false">INDEX(table_mortality_rate!$A$1:$C$2000,MATCH(C644,table_mortality_rate!$A$1:$A$2000,0),MATCH(calc_cohort!$E$2,table_mortality_rate!A$1:C$1,0))</f>
        <v>0.101007</v>
      </c>
      <c r="E644" s="0" t="n">
        <f aca="false">(1-D644)^constant!$B$1</f>
        <v>0.991165915946827</v>
      </c>
      <c r="F644" s="0" t="n">
        <f aca="false">IF(A644=0,1,F643*E644)</f>
        <v>0.350536630447799</v>
      </c>
      <c r="G644" s="5" t="b">
        <f aca="false">B644&gt;=calc_cohort!C$2</f>
        <v>1</v>
      </c>
      <c r="H644" s="0" t="n">
        <f aca="false">IF(G644,1,0)</f>
        <v>1</v>
      </c>
      <c r="I644" s="0" t="n">
        <f aca="false">calc_cohort!$B$2*constant!$B$1*F644*H644</f>
        <v>0.36046850164382</v>
      </c>
      <c r="J644" s="0" t="n">
        <f aca="false">INDEX(table_spot_rate!B$1:B$2000,MATCH(A644,table_spot_rate!A$1:A$2000,0))</f>
        <v>0.0542044438497682</v>
      </c>
      <c r="K644" s="0" t="n">
        <f aca="false">(1+J644)^(-A644*constant!$B$1)</f>
        <v>0.0593636945019645</v>
      </c>
      <c r="L644" s="0" t="n">
        <f aca="false">K644*I644</f>
        <v>0.0213987420091646</v>
      </c>
    </row>
    <row r="645" customFormat="false" ht="12.8" hidden="false" customHeight="false" outlineLevel="0" collapsed="false">
      <c r="A645" s="0" t="n">
        <v>643</v>
      </c>
      <c r="B645" s="0" t="n">
        <f aca="false">calc_cohort!D$2+constant!$B$1*A645</f>
        <v>84.7833333333333</v>
      </c>
      <c r="C645" s="0" t="n">
        <f aca="false">_xlfn.FLOOR.MATH(B645)</f>
        <v>84</v>
      </c>
      <c r="D645" s="4" t="n">
        <f aca="false">INDEX(table_mortality_rate!$A$1:$C$2000,MATCH(C645,table_mortality_rate!$A$1:$A$2000,0),MATCH(calc_cohort!$E$2,table_mortality_rate!A$1:C$1,0))</f>
        <v>0.101007</v>
      </c>
      <c r="E645" s="0" t="n">
        <f aca="false">(1-D645)^constant!$B$1</f>
        <v>0.991165915946827</v>
      </c>
      <c r="F645" s="0" t="n">
        <f aca="false">IF(A645=0,1,F644*E645)</f>
        <v>0.347439960390707</v>
      </c>
      <c r="G645" s="5" t="b">
        <f aca="false">B645&gt;=calc_cohort!C$2</f>
        <v>1</v>
      </c>
      <c r="H645" s="0" t="n">
        <f aca="false">IF(G645,1,0)</f>
        <v>1</v>
      </c>
      <c r="I645" s="0" t="n">
        <f aca="false">calc_cohort!$B$2*constant!$B$1*F645*H645</f>
        <v>0.357284092601777</v>
      </c>
      <c r="J645" s="0" t="n">
        <f aca="false">INDEX(table_spot_rate!B$1:B$2000,MATCH(A645,table_spot_rate!A$1:A$2000,0))</f>
        <v>0.0580961340245722</v>
      </c>
      <c r="K645" s="0" t="n">
        <f aca="false">(1+J645)^(-A645*constant!$B$1)</f>
        <v>0.0485134223259372</v>
      </c>
      <c r="L645" s="0" t="n">
        <f aca="false">K645*I645</f>
        <v>0.0173330740747293</v>
      </c>
    </row>
    <row r="646" customFormat="false" ht="12.8" hidden="false" customHeight="false" outlineLevel="0" collapsed="false">
      <c r="A646" s="0" t="n">
        <v>644</v>
      </c>
      <c r="B646" s="0" t="n">
        <f aca="false">calc_cohort!D$2+constant!$B$1*A646</f>
        <v>84.8666666666667</v>
      </c>
      <c r="C646" s="0" t="n">
        <f aca="false">_xlfn.FLOOR.MATH(B646)</f>
        <v>84</v>
      </c>
      <c r="D646" s="4" t="n">
        <f aca="false">INDEX(table_mortality_rate!$A$1:$C$2000,MATCH(C646,table_mortality_rate!$A$1:$A$2000,0),MATCH(calc_cohort!$E$2,table_mortality_rate!A$1:C$1,0))</f>
        <v>0.101007</v>
      </c>
      <c r="E646" s="0" t="n">
        <f aca="false">(1-D646)^constant!$B$1</f>
        <v>0.991165915946827</v>
      </c>
      <c r="F646" s="0" t="n">
        <f aca="false">IF(A646=0,1,F645*E646)</f>
        <v>0.344370646577184</v>
      </c>
      <c r="G646" s="5" t="b">
        <f aca="false">B646&gt;=calc_cohort!C$2</f>
        <v>1</v>
      </c>
      <c r="H646" s="0" t="n">
        <f aca="false">IF(G646,1,0)</f>
        <v>1</v>
      </c>
      <c r="I646" s="0" t="n">
        <f aca="false">calc_cohort!$B$2*constant!$B$1*F646*H646</f>
        <v>0.354127814896871</v>
      </c>
      <c r="J646" s="0" t="n">
        <f aca="false">INDEX(table_spot_rate!B$1:B$2000,MATCH(A646,table_spot_rate!A$1:A$2000,0))</f>
        <v>0.0591606343321249</v>
      </c>
      <c r="K646" s="0" t="n">
        <f aca="false">(1+J646)^(-A646*constant!$B$1)</f>
        <v>0.0457490135744659</v>
      </c>
      <c r="L646" s="0" t="n">
        <f aca="false">K646*I646</f>
        <v>0.0162009982108129</v>
      </c>
    </row>
    <row r="647" customFormat="false" ht="12.8" hidden="false" customHeight="false" outlineLevel="0" collapsed="false">
      <c r="A647" s="0" t="n">
        <v>645</v>
      </c>
      <c r="B647" s="0" t="n">
        <f aca="false">calc_cohort!D$2+constant!$B$1*A647</f>
        <v>84.95</v>
      </c>
      <c r="C647" s="0" t="n">
        <f aca="false">_xlfn.FLOOR.MATH(B647)</f>
        <v>84</v>
      </c>
      <c r="D647" s="4" t="n">
        <f aca="false">INDEX(table_mortality_rate!$A$1:$C$2000,MATCH(C647,table_mortality_rate!$A$1:$A$2000,0),MATCH(calc_cohort!$E$2,table_mortality_rate!A$1:C$1,0))</f>
        <v>0.101007</v>
      </c>
      <c r="E647" s="0" t="n">
        <f aca="false">(1-D647)^constant!$B$1</f>
        <v>0.991165915946827</v>
      </c>
      <c r="F647" s="0" t="n">
        <f aca="false">IF(A647=0,1,F646*E647)</f>
        <v>0.341328447339876</v>
      </c>
      <c r="G647" s="5" t="b">
        <f aca="false">B647&gt;=calc_cohort!C$2</f>
        <v>1</v>
      </c>
      <c r="H647" s="0" t="n">
        <f aca="false">IF(G647,1,0)</f>
        <v>1</v>
      </c>
      <c r="I647" s="0" t="n">
        <f aca="false">calc_cohort!$B$2*constant!$B$1*F647*H647</f>
        <v>0.350999420014506</v>
      </c>
      <c r="J647" s="0" t="n">
        <f aca="false">INDEX(table_spot_rate!B$1:B$2000,MATCH(A647,table_spot_rate!A$1:A$2000,0))</f>
        <v>0.0588246058972698</v>
      </c>
      <c r="K647" s="0" t="n">
        <f aca="false">(1+J647)^(-A647*constant!$B$1)</f>
        <v>0.0463136108402067</v>
      </c>
      <c r="L647" s="0" t="n">
        <f aca="false">K647*I647</f>
        <v>0.0162560505436901</v>
      </c>
    </row>
    <row r="648" customFormat="false" ht="12.8" hidden="false" customHeight="false" outlineLevel="0" collapsed="false">
      <c r="A648" s="0" t="n">
        <v>646</v>
      </c>
      <c r="B648" s="0" t="n">
        <f aca="false">calc_cohort!D$2+constant!$B$1*A648</f>
        <v>85.0333333333333</v>
      </c>
      <c r="C648" s="0" t="n">
        <f aca="false">_xlfn.FLOOR.MATH(B648)</f>
        <v>85</v>
      </c>
      <c r="D648" s="4" t="n">
        <f aca="false">INDEX(table_mortality_rate!$A$1:$C$2000,MATCH(C648,table_mortality_rate!$A$1:$A$2000,0),MATCH(calc_cohort!$E$2,table_mortality_rate!A$1:C$1,0))</f>
        <v>0.1106</v>
      </c>
      <c r="E648" s="0" t="n">
        <f aca="false">(1-D648)^constant!$B$1</f>
        <v>0.990280195564069</v>
      </c>
      <c r="F648" s="0" t="n">
        <f aca="false">IF(A648=0,1,F647*E648)</f>
        <v>0.338010801583312</v>
      </c>
      <c r="G648" s="5" t="b">
        <f aca="false">B648&gt;=calc_cohort!C$2</f>
        <v>1</v>
      </c>
      <c r="H648" s="0" t="n">
        <f aca="false">IF(G648,1,0)</f>
        <v>1</v>
      </c>
      <c r="I648" s="0" t="n">
        <f aca="false">calc_cohort!$B$2*constant!$B$1*F648*H648</f>
        <v>0.34758777429484</v>
      </c>
      <c r="J648" s="0" t="n">
        <f aca="false">INDEX(table_spot_rate!B$1:B$2000,MATCH(A648,table_spot_rate!A$1:A$2000,0))</f>
        <v>0.0523625092700286</v>
      </c>
      <c r="K648" s="0" t="n">
        <f aca="false">(1+J648)^(-A648*constant!$B$1)</f>
        <v>0.064086177126923</v>
      </c>
      <c r="L648" s="0" t="n">
        <f aca="false">K648*I648</f>
        <v>0.022275571670612</v>
      </c>
    </row>
    <row r="649" customFormat="false" ht="12.8" hidden="false" customHeight="false" outlineLevel="0" collapsed="false">
      <c r="A649" s="0" t="n">
        <v>647</v>
      </c>
      <c r="B649" s="0" t="n">
        <f aca="false">calc_cohort!D$2+constant!$B$1*A649</f>
        <v>85.1166666666667</v>
      </c>
      <c r="C649" s="0" t="n">
        <f aca="false">_xlfn.FLOOR.MATH(B649)</f>
        <v>85</v>
      </c>
      <c r="D649" s="4" t="n">
        <f aca="false">INDEX(table_mortality_rate!$A$1:$C$2000,MATCH(C649,table_mortality_rate!$A$1:$A$2000,0),MATCH(calc_cohort!$E$2,table_mortality_rate!A$1:C$1,0))</f>
        <v>0.1106</v>
      </c>
      <c r="E649" s="0" t="n">
        <f aca="false">(1-D649)^constant!$B$1</f>
        <v>0.990280195564069</v>
      </c>
      <c r="F649" s="0" t="n">
        <f aca="false">IF(A649=0,1,F648*E649)</f>
        <v>0.334725402694691</v>
      </c>
      <c r="G649" s="5" t="b">
        <f aca="false">B649&gt;=calc_cohort!C$2</f>
        <v>1</v>
      </c>
      <c r="H649" s="0" t="n">
        <f aca="false">IF(G649,1,0)</f>
        <v>1</v>
      </c>
      <c r="I649" s="0" t="n">
        <f aca="false">calc_cohort!$B$2*constant!$B$1*F649*H649</f>
        <v>0.344209289104373</v>
      </c>
      <c r="J649" s="0" t="n">
        <f aca="false">INDEX(table_spot_rate!B$1:B$2000,MATCH(A649,table_spot_rate!A$1:A$2000,0))</f>
        <v>0.0531093621490361</v>
      </c>
      <c r="K649" s="0" t="n">
        <f aca="false">(1+J649)^(-A649*constant!$B$1)</f>
        <v>0.0614193493672014</v>
      </c>
      <c r="L649" s="0" t="n">
        <f aca="false">K649*I649</f>
        <v>0.0211411105829375</v>
      </c>
    </row>
    <row r="650" customFormat="false" ht="12.8" hidden="false" customHeight="false" outlineLevel="0" collapsed="false">
      <c r="A650" s="0" t="n">
        <v>648</v>
      </c>
      <c r="B650" s="0" t="n">
        <f aca="false">calc_cohort!D$2+constant!$B$1*A650</f>
        <v>85.2</v>
      </c>
      <c r="C650" s="0" t="n">
        <f aca="false">_xlfn.FLOOR.MATH(B650)</f>
        <v>85</v>
      </c>
      <c r="D650" s="4" t="n">
        <f aca="false">INDEX(table_mortality_rate!$A$1:$C$2000,MATCH(C650,table_mortality_rate!$A$1:$A$2000,0),MATCH(calc_cohort!$E$2,table_mortality_rate!A$1:C$1,0))</f>
        <v>0.1106</v>
      </c>
      <c r="E650" s="0" t="n">
        <f aca="false">(1-D650)^constant!$B$1</f>
        <v>0.990280195564069</v>
      </c>
      <c r="F650" s="0" t="n">
        <f aca="false">IF(A650=0,1,F649*E650)</f>
        <v>0.33147193724076</v>
      </c>
      <c r="G650" s="5" t="b">
        <f aca="false">B650&gt;=calc_cohort!C$2</f>
        <v>1</v>
      </c>
      <c r="H650" s="0" t="n">
        <f aca="false">IF(G650,1,0)</f>
        <v>1</v>
      </c>
      <c r="I650" s="0" t="n">
        <f aca="false">calc_cohort!$B$2*constant!$B$1*F650*H650</f>
        <v>0.340863642129248</v>
      </c>
      <c r="J650" s="0" t="n">
        <f aca="false">INDEX(table_spot_rate!B$1:B$2000,MATCH(A650,table_spot_rate!A$1:A$2000,0))</f>
        <v>0.0563498466998268</v>
      </c>
      <c r="K650" s="0" t="n">
        <f aca="false">(1+J650)^(-A650*constant!$B$1)</f>
        <v>0.0518060194616272</v>
      </c>
      <c r="L650" s="0" t="n">
        <f aca="false">K650*I650</f>
        <v>0.017658788477909</v>
      </c>
    </row>
    <row r="651" customFormat="false" ht="12.8" hidden="false" customHeight="false" outlineLevel="0" collapsed="false">
      <c r="A651" s="0" t="n">
        <v>649</v>
      </c>
      <c r="B651" s="0" t="n">
        <f aca="false">calc_cohort!D$2+constant!$B$1*A651</f>
        <v>85.2833333333333</v>
      </c>
      <c r="C651" s="0" t="n">
        <f aca="false">_xlfn.FLOOR.MATH(B651)</f>
        <v>85</v>
      </c>
      <c r="D651" s="4" t="n">
        <f aca="false">INDEX(table_mortality_rate!$A$1:$C$2000,MATCH(C651,table_mortality_rate!$A$1:$A$2000,0),MATCH(calc_cohort!$E$2,table_mortality_rate!A$1:C$1,0))</f>
        <v>0.1106</v>
      </c>
      <c r="E651" s="0" t="n">
        <f aca="false">(1-D651)^constant!$B$1</f>
        <v>0.990280195564069</v>
      </c>
      <c r="F651" s="0" t="n">
        <f aca="false">IF(A651=0,1,F650*E651)</f>
        <v>0.328250094834781</v>
      </c>
      <c r="G651" s="5" t="b">
        <f aca="false">B651&gt;=calc_cohort!C$2</f>
        <v>1</v>
      </c>
      <c r="H651" s="0" t="n">
        <f aca="false">IF(G651,1,0)</f>
        <v>1</v>
      </c>
      <c r="I651" s="0" t="n">
        <f aca="false">calc_cohort!$B$2*constant!$B$1*F651*H651</f>
        <v>0.337550514188433</v>
      </c>
      <c r="J651" s="0" t="n">
        <f aca="false">INDEX(table_spot_rate!B$1:B$2000,MATCH(A651,table_spot_rate!A$1:A$2000,0))</f>
        <v>0.0543775487152</v>
      </c>
      <c r="K651" s="0" t="n">
        <f aca="false">(1+J651)^(-A651*constant!$B$1)</f>
        <v>0.0570547186557669</v>
      </c>
      <c r="L651" s="0" t="n">
        <f aca="false">K651*I651</f>
        <v>0.0192588496191305</v>
      </c>
    </row>
    <row r="652" customFormat="false" ht="12.8" hidden="false" customHeight="false" outlineLevel="0" collapsed="false">
      <c r="A652" s="0" t="n">
        <v>650</v>
      </c>
      <c r="B652" s="0" t="n">
        <f aca="false">calc_cohort!D$2+constant!$B$1*A652</f>
        <v>85.3666666666667</v>
      </c>
      <c r="C652" s="0" t="n">
        <f aca="false">_xlfn.FLOOR.MATH(B652)</f>
        <v>85</v>
      </c>
      <c r="D652" s="4" t="n">
        <f aca="false">INDEX(table_mortality_rate!$A$1:$C$2000,MATCH(C652,table_mortality_rate!$A$1:$A$2000,0),MATCH(calc_cohort!$E$2,table_mortality_rate!A$1:C$1,0))</f>
        <v>0.1106</v>
      </c>
      <c r="E652" s="0" t="n">
        <f aca="false">(1-D652)^constant!$B$1</f>
        <v>0.990280195564069</v>
      </c>
      <c r="F652" s="0" t="n">
        <f aca="false">IF(A652=0,1,F651*E652)</f>
        <v>0.325059568106911</v>
      </c>
      <c r="G652" s="5" t="b">
        <f aca="false">B652&gt;=calc_cohort!C$2</f>
        <v>1</v>
      </c>
      <c r="H652" s="0" t="n">
        <f aca="false">IF(G652,1,0)</f>
        <v>1</v>
      </c>
      <c r="I652" s="0" t="n">
        <f aca="false">calc_cohort!$B$2*constant!$B$1*F652*H652</f>
        <v>0.334269589203273</v>
      </c>
      <c r="J652" s="0" t="n">
        <f aca="false">INDEX(table_spot_rate!B$1:B$2000,MATCH(A652,table_spot_rate!A$1:A$2000,0))</f>
        <v>0.0553547883861342</v>
      </c>
      <c r="K652" s="0" t="n">
        <f aca="false">(1+J652)^(-A652*constant!$B$1)</f>
        <v>0.0540234187192478</v>
      </c>
      <c r="L652" s="0" t="n">
        <f aca="false">K652*I652</f>
        <v>0.0180583859826394</v>
      </c>
    </row>
    <row r="653" customFormat="false" ht="12.8" hidden="false" customHeight="false" outlineLevel="0" collapsed="false">
      <c r="A653" s="0" t="n">
        <v>651</v>
      </c>
      <c r="B653" s="0" t="n">
        <f aca="false">calc_cohort!D$2+constant!$B$1*A653</f>
        <v>85.45</v>
      </c>
      <c r="C653" s="0" t="n">
        <f aca="false">_xlfn.FLOOR.MATH(B653)</f>
        <v>85</v>
      </c>
      <c r="D653" s="4" t="n">
        <f aca="false">INDEX(table_mortality_rate!$A$1:$C$2000,MATCH(C653,table_mortality_rate!$A$1:$A$2000,0),MATCH(calc_cohort!$E$2,table_mortality_rate!A$1:C$1,0))</f>
        <v>0.1106</v>
      </c>
      <c r="E653" s="0" t="n">
        <f aca="false">(1-D653)^constant!$B$1</f>
        <v>0.990280195564069</v>
      </c>
      <c r="F653" s="0" t="n">
        <f aca="false">IF(A653=0,1,F652*E653)</f>
        <v>0.321900052674884</v>
      </c>
      <c r="G653" s="5" t="b">
        <f aca="false">B653&gt;=calc_cohort!C$2</f>
        <v>1</v>
      </c>
      <c r="H653" s="0" t="n">
        <f aca="false">IF(G653,1,0)</f>
        <v>1</v>
      </c>
      <c r="I653" s="0" t="n">
        <f aca="false">calc_cohort!$B$2*constant!$B$1*F653*H653</f>
        <v>0.331020554167339</v>
      </c>
      <c r="J653" s="0" t="n">
        <f aca="false">INDEX(table_spot_rate!B$1:B$2000,MATCH(A653,table_spot_rate!A$1:A$2000,0))</f>
        <v>0.0543166097342582</v>
      </c>
      <c r="K653" s="0" t="n">
        <f aca="false">(1+J653)^(-A653*constant!$B$1)</f>
        <v>0.0567310237875348</v>
      </c>
      <c r="L653" s="0" t="n">
        <f aca="false">K653*I653</f>
        <v>0.0187791349326303</v>
      </c>
    </row>
    <row r="654" customFormat="false" ht="12.8" hidden="false" customHeight="false" outlineLevel="0" collapsed="false">
      <c r="A654" s="0" t="n">
        <v>652</v>
      </c>
      <c r="B654" s="0" t="n">
        <f aca="false">calc_cohort!D$2+constant!$B$1*A654</f>
        <v>85.5333333333333</v>
      </c>
      <c r="C654" s="0" t="n">
        <f aca="false">_xlfn.FLOOR.MATH(B654)</f>
        <v>85</v>
      </c>
      <c r="D654" s="4" t="n">
        <f aca="false">INDEX(table_mortality_rate!$A$1:$C$2000,MATCH(C654,table_mortality_rate!$A$1:$A$2000,0),MATCH(calc_cohort!$E$2,table_mortality_rate!A$1:C$1,0))</f>
        <v>0.1106</v>
      </c>
      <c r="E654" s="0" t="n">
        <f aca="false">(1-D654)^constant!$B$1</f>
        <v>0.990280195564069</v>
      </c>
      <c r="F654" s="0" t="n">
        <f aca="false">IF(A654=0,1,F653*E654)</f>
        <v>0.318771247114968</v>
      </c>
      <c r="G654" s="5" t="b">
        <f aca="false">B654&gt;=calc_cohort!C$2</f>
        <v>1</v>
      </c>
      <c r="H654" s="0" t="n">
        <f aca="false">IF(G654,1,0)</f>
        <v>1</v>
      </c>
      <c r="I654" s="0" t="n">
        <f aca="false">calc_cohort!$B$2*constant!$B$1*F654*H654</f>
        <v>0.327803099116559</v>
      </c>
      <c r="J654" s="0" t="n">
        <f aca="false">INDEX(table_spot_rate!B$1:B$2000,MATCH(A654,table_spot_rate!A$1:A$2000,0))</f>
        <v>0.059799818830787</v>
      </c>
      <c r="K654" s="0" t="n">
        <f aca="false">(1+J654)^(-A654*constant!$B$1)</f>
        <v>0.0426093238306356</v>
      </c>
      <c r="L654" s="0" t="n">
        <f aca="false">K654*I654</f>
        <v>0.0139674684029434</v>
      </c>
    </row>
    <row r="655" customFormat="false" ht="12.8" hidden="false" customHeight="false" outlineLevel="0" collapsed="false">
      <c r="A655" s="0" t="n">
        <v>653</v>
      </c>
      <c r="B655" s="0" t="n">
        <f aca="false">calc_cohort!D$2+constant!$B$1*A655</f>
        <v>85.6166666666667</v>
      </c>
      <c r="C655" s="0" t="n">
        <f aca="false">_xlfn.FLOOR.MATH(B655)</f>
        <v>85</v>
      </c>
      <c r="D655" s="4" t="n">
        <f aca="false">INDEX(table_mortality_rate!$A$1:$C$2000,MATCH(C655,table_mortality_rate!$A$1:$A$2000,0),MATCH(calc_cohort!$E$2,table_mortality_rate!A$1:C$1,0))</f>
        <v>0.1106</v>
      </c>
      <c r="E655" s="0" t="n">
        <f aca="false">(1-D655)^constant!$B$1</f>
        <v>0.990280195564069</v>
      </c>
      <c r="F655" s="0" t="n">
        <f aca="false">IF(A655=0,1,F654*E655)</f>
        <v>0.315672852933213</v>
      </c>
      <c r="G655" s="5" t="b">
        <f aca="false">B655&gt;=calc_cohort!C$2</f>
        <v>1</v>
      </c>
      <c r="H655" s="0" t="n">
        <f aca="false">IF(G655,1,0)</f>
        <v>1</v>
      </c>
      <c r="I655" s="0" t="n">
        <f aca="false">calc_cohort!$B$2*constant!$B$1*F655*H655</f>
        <v>0.324616917099654</v>
      </c>
      <c r="J655" s="0" t="n">
        <f aca="false">INDEX(table_spot_rate!B$1:B$2000,MATCH(A655,table_spot_rate!A$1:A$2000,0))</f>
        <v>0.0547973228514783</v>
      </c>
      <c r="K655" s="0" t="n">
        <f aca="false">(1+J655)^(-A655*constant!$B$1)</f>
        <v>0.0548553795158695</v>
      </c>
      <c r="L655" s="0" t="n">
        <f aca="false">K655*I655</f>
        <v>0.017806984184773</v>
      </c>
    </row>
    <row r="656" customFormat="false" ht="12.8" hidden="false" customHeight="false" outlineLevel="0" collapsed="false">
      <c r="A656" s="0" t="n">
        <v>654</v>
      </c>
      <c r="B656" s="0" t="n">
        <f aca="false">calc_cohort!D$2+constant!$B$1*A656</f>
        <v>85.7</v>
      </c>
      <c r="C656" s="0" t="n">
        <f aca="false">_xlfn.FLOOR.MATH(B656)</f>
        <v>85</v>
      </c>
      <c r="D656" s="4" t="n">
        <f aca="false">INDEX(table_mortality_rate!$A$1:$C$2000,MATCH(C656,table_mortality_rate!$A$1:$A$2000,0),MATCH(calc_cohort!$E$2,table_mortality_rate!A$1:C$1,0))</f>
        <v>0.1106</v>
      </c>
      <c r="E656" s="0" t="n">
        <f aca="false">(1-D656)^constant!$B$1</f>
        <v>0.990280195564069</v>
      </c>
      <c r="F656" s="0" t="n">
        <f aca="false">IF(A656=0,1,F655*E656)</f>
        <v>0.31260457453697</v>
      </c>
      <c r="G656" s="5" t="b">
        <f aca="false">B656&gt;=calc_cohort!C$2</f>
        <v>1</v>
      </c>
      <c r="H656" s="0" t="n">
        <f aca="false">IF(G656,1,0)</f>
        <v>1</v>
      </c>
      <c r="I656" s="0" t="n">
        <f aca="false">calc_cohort!$B$2*constant!$B$1*F656*H656</f>
        <v>0.32146170414885</v>
      </c>
      <c r="J656" s="0" t="n">
        <f aca="false">INDEX(table_spot_rate!B$1:B$2000,MATCH(A656,table_spot_rate!A$1:A$2000,0))</f>
        <v>0.0526546937812709</v>
      </c>
      <c r="K656" s="0" t="n">
        <f aca="false">(1+J656)^(-A656*constant!$B$1)</f>
        <v>0.0610122081328757</v>
      </c>
      <c r="L656" s="0" t="n">
        <f aca="false">K656*I656</f>
        <v>0.0196130884002786</v>
      </c>
    </row>
    <row r="657" customFormat="false" ht="12.8" hidden="false" customHeight="false" outlineLevel="0" collapsed="false">
      <c r="A657" s="0" t="n">
        <v>655</v>
      </c>
      <c r="B657" s="0" t="n">
        <f aca="false">calc_cohort!D$2+constant!$B$1*A657</f>
        <v>85.7833333333333</v>
      </c>
      <c r="C657" s="0" t="n">
        <f aca="false">_xlfn.FLOOR.MATH(B657)</f>
        <v>85</v>
      </c>
      <c r="D657" s="4" t="n">
        <f aca="false">INDEX(table_mortality_rate!$A$1:$C$2000,MATCH(C657,table_mortality_rate!$A$1:$A$2000,0),MATCH(calc_cohort!$E$2,table_mortality_rate!A$1:C$1,0))</f>
        <v>0.1106</v>
      </c>
      <c r="E657" s="0" t="n">
        <f aca="false">(1-D657)^constant!$B$1</f>
        <v>0.990280195564069</v>
      </c>
      <c r="F657" s="0" t="n">
        <f aca="false">IF(A657=0,1,F656*E657)</f>
        <v>0.309566119206693</v>
      </c>
      <c r="G657" s="5" t="b">
        <f aca="false">B657&gt;=calc_cohort!C$2</f>
        <v>1</v>
      </c>
      <c r="H657" s="0" t="n">
        <f aca="false">IF(G657,1,0)</f>
        <v>1</v>
      </c>
      <c r="I657" s="0" t="n">
        <f aca="false">calc_cohort!$B$2*constant!$B$1*F657*H657</f>
        <v>0.318337159250883</v>
      </c>
      <c r="J657" s="0" t="n">
        <f aca="false">INDEX(table_spot_rate!B$1:B$2000,MATCH(A657,table_spot_rate!A$1:A$2000,0))</f>
        <v>0.053027879226032</v>
      </c>
      <c r="K657" s="0" t="n">
        <f aca="false">(1+J657)^(-A657*constant!$B$1)</f>
        <v>0.0595877693249397</v>
      </c>
      <c r="L657" s="0" t="n">
        <f aca="false">K657*I657</f>
        <v>0.0189690012129982</v>
      </c>
    </row>
    <row r="658" customFormat="false" ht="12.8" hidden="false" customHeight="false" outlineLevel="0" collapsed="false">
      <c r="A658" s="0" t="n">
        <v>656</v>
      </c>
      <c r="B658" s="0" t="n">
        <f aca="false">calc_cohort!D$2+constant!$B$1*A658</f>
        <v>85.8666666666667</v>
      </c>
      <c r="C658" s="0" t="n">
        <f aca="false">_xlfn.FLOOR.MATH(B658)</f>
        <v>85</v>
      </c>
      <c r="D658" s="4" t="n">
        <f aca="false">INDEX(table_mortality_rate!$A$1:$C$2000,MATCH(C658,table_mortality_rate!$A$1:$A$2000,0),MATCH(calc_cohort!$E$2,table_mortality_rate!A$1:C$1,0))</f>
        <v>0.1106</v>
      </c>
      <c r="E658" s="0" t="n">
        <f aca="false">(1-D658)^constant!$B$1</f>
        <v>0.990280195564069</v>
      </c>
      <c r="F658" s="0" t="n">
        <f aca="false">IF(A658=0,1,F657*E658)</f>
        <v>0.306557197068014</v>
      </c>
      <c r="G658" s="5" t="b">
        <f aca="false">B658&gt;=calc_cohort!C$2</f>
        <v>1</v>
      </c>
      <c r="H658" s="0" t="n">
        <f aca="false">IF(G658,1,0)</f>
        <v>1</v>
      </c>
      <c r="I658" s="0" t="n">
        <f aca="false">calc_cohort!$B$2*constant!$B$1*F658*H658</f>
        <v>0.315242984318274</v>
      </c>
      <c r="J658" s="0" t="n">
        <f aca="false">INDEX(table_spot_rate!B$1:B$2000,MATCH(A658,table_spot_rate!A$1:A$2000,0))</f>
        <v>0.0511066565150896</v>
      </c>
      <c r="K658" s="0" t="n">
        <f aca="false">(1+J658)^(-A658*constant!$B$1)</f>
        <v>0.0655605128443103</v>
      </c>
      <c r="L658" s="0" t="n">
        <f aca="false">K658*I658</f>
        <v>0.0206674917224769</v>
      </c>
    </row>
    <row r="659" customFormat="false" ht="12.8" hidden="false" customHeight="false" outlineLevel="0" collapsed="false">
      <c r="A659" s="0" t="n">
        <v>657</v>
      </c>
      <c r="B659" s="0" t="n">
        <f aca="false">calc_cohort!D$2+constant!$B$1*A659</f>
        <v>85.95</v>
      </c>
      <c r="C659" s="0" t="n">
        <f aca="false">_xlfn.FLOOR.MATH(B659)</f>
        <v>85</v>
      </c>
      <c r="D659" s="4" t="n">
        <f aca="false">INDEX(table_mortality_rate!$A$1:$C$2000,MATCH(C659,table_mortality_rate!$A$1:$A$2000,0),MATCH(calc_cohort!$E$2,table_mortality_rate!A$1:C$1,0))</f>
        <v>0.1106</v>
      </c>
      <c r="E659" s="0" t="n">
        <f aca="false">(1-D659)^constant!$B$1</f>
        <v>0.990280195564069</v>
      </c>
      <c r="F659" s="0" t="n">
        <f aca="false">IF(A659=0,1,F658*E659)</f>
        <v>0.303577521064086</v>
      </c>
      <c r="G659" s="5" t="b">
        <f aca="false">B659&gt;=calc_cohort!C$2</f>
        <v>1</v>
      </c>
      <c r="H659" s="0" t="n">
        <f aca="false">IF(G659,1,0)</f>
        <v>1</v>
      </c>
      <c r="I659" s="0" t="n">
        <f aca="false">calc_cohort!$B$2*constant!$B$1*F659*H659</f>
        <v>0.312178884160902</v>
      </c>
      <c r="J659" s="0" t="n">
        <f aca="false">INDEX(table_spot_rate!B$1:B$2000,MATCH(A659,table_spot_rate!A$1:A$2000,0))</f>
        <v>0.0561574775888365</v>
      </c>
      <c r="K659" s="0" t="n">
        <f aca="false">(1+J659)^(-A659*constant!$B$1)</f>
        <v>0.0502174746778966</v>
      </c>
      <c r="L659" s="0" t="n">
        <f aca="false">K659*I659</f>
        <v>0.0156768352103241</v>
      </c>
    </row>
    <row r="660" customFormat="false" ht="12.8" hidden="false" customHeight="false" outlineLevel="0" collapsed="false">
      <c r="A660" s="0" t="n">
        <v>658</v>
      </c>
      <c r="B660" s="0" t="n">
        <f aca="false">calc_cohort!D$2+constant!$B$1*A660</f>
        <v>86.0333333333333</v>
      </c>
      <c r="C660" s="0" t="n">
        <f aca="false">_xlfn.FLOOR.MATH(B660)</f>
        <v>86</v>
      </c>
      <c r="D660" s="4" t="n">
        <f aca="false">INDEX(table_mortality_rate!$A$1:$C$2000,MATCH(C660,table_mortality_rate!$A$1:$A$2000,0),MATCH(calc_cohort!$E$2,table_mortality_rate!A$1:C$1,0))</f>
        <v>0.120929</v>
      </c>
      <c r="E660" s="0" t="n">
        <f aca="false">(1-D660)^constant!$B$1</f>
        <v>0.989316675524362</v>
      </c>
      <c r="F660" s="0" t="n">
        <f aca="false">IF(A660=0,1,F659*E660)</f>
        <v>0.300334303903048</v>
      </c>
      <c r="G660" s="5" t="b">
        <f aca="false">B660&gt;=calc_cohort!C$2</f>
        <v>1</v>
      </c>
      <c r="H660" s="0" t="n">
        <f aca="false">IF(G660,1,0)</f>
        <v>1</v>
      </c>
      <c r="I660" s="0" t="n">
        <f aca="false">calc_cohort!$B$2*constant!$B$1*F660*H660</f>
        <v>0.308843775846968</v>
      </c>
      <c r="J660" s="0" t="n">
        <f aca="false">INDEX(table_spot_rate!B$1:B$2000,MATCH(A660,table_spot_rate!A$1:A$2000,0))</f>
        <v>0.0598366746625176</v>
      </c>
      <c r="K660" s="0" t="n">
        <f aca="false">(1+J660)^(-A660*constant!$B$1)</f>
        <v>0.0413108928925156</v>
      </c>
      <c r="L660" s="0" t="n">
        <f aca="false">K660*I660</f>
        <v>0.0127586121445342</v>
      </c>
    </row>
    <row r="661" customFormat="false" ht="12.8" hidden="false" customHeight="false" outlineLevel="0" collapsed="false">
      <c r="A661" s="0" t="n">
        <v>659</v>
      </c>
      <c r="B661" s="0" t="n">
        <f aca="false">calc_cohort!D$2+constant!$B$1*A661</f>
        <v>86.1166666666667</v>
      </c>
      <c r="C661" s="0" t="n">
        <f aca="false">_xlfn.FLOOR.MATH(B661)</f>
        <v>86</v>
      </c>
      <c r="D661" s="4" t="n">
        <f aca="false">INDEX(table_mortality_rate!$A$1:$C$2000,MATCH(C661,table_mortality_rate!$A$1:$A$2000,0),MATCH(calc_cohort!$E$2,table_mortality_rate!A$1:C$1,0))</f>
        <v>0.120929</v>
      </c>
      <c r="E661" s="0" t="n">
        <f aca="false">(1-D661)^constant!$B$1</f>
        <v>0.989316675524362</v>
      </c>
      <c r="F661" s="0" t="n">
        <f aca="false">IF(A661=0,1,F660*E661)</f>
        <v>0.297125735083287</v>
      </c>
      <c r="G661" s="5" t="b">
        <f aca="false">B661&gt;=calc_cohort!C$2</f>
        <v>1</v>
      </c>
      <c r="H661" s="0" t="n">
        <f aca="false">IF(G661,1,0)</f>
        <v>1</v>
      </c>
      <c r="I661" s="0" t="n">
        <f aca="false">calc_cohort!$B$2*constant!$B$1*F661*H661</f>
        <v>0.305544297577313</v>
      </c>
      <c r="J661" s="0" t="n">
        <f aca="false">INDEX(table_spot_rate!B$1:B$2000,MATCH(A661,table_spot_rate!A$1:A$2000,0))</f>
        <v>0.0568991621364991</v>
      </c>
      <c r="K661" s="0" t="n">
        <f aca="false">(1+J661)^(-A661*constant!$B$1)</f>
        <v>0.0478803534309847</v>
      </c>
      <c r="L661" s="0" t="n">
        <f aca="false">K661*I661</f>
        <v>0.0146295689568237</v>
      </c>
    </row>
    <row r="662" customFormat="false" ht="12.8" hidden="false" customHeight="false" outlineLevel="0" collapsed="false">
      <c r="A662" s="0" t="n">
        <v>660</v>
      </c>
      <c r="B662" s="0" t="n">
        <f aca="false">calc_cohort!D$2+constant!$B$1*A662</f>
        <v>86.2</v>
      </c>
      <c r="C662" s="0" t="n">
        <f aca="false">_xlfn.FLOOR.MATH(B662)</f>
        <v>86</v>
      </c>
      <c r="D662" s="4" t="n">
        <f aca="false">INDEX(table_mortality_rate!$A$1:$C$2000,MATCH(C662,table_mortality_rate!$A$1:$A$2000,0),MATCH(calc_cohort!$E$2,table_mortality_rate!A$1:C$1,0))</f>
        <v>0.120929</v>
      </c>
      <c r="E662" s="0" t="n">
        <f aca="false">(1-D662)^constant!$B$1</f>
        <v>0.989316675524362</v>
      </c>
      <c r="F662" s="0" t="n">
        <f aca="false">IF(A662=0,1,F661*E662)</f>
        <v>0.29395144444533</v>
      </c>
      <c r="G662" s="5" t="b">
        <f aca="false">B662&gt;=calc_cohort!C$2</f>
        <v>1</v>
      </c>
      <c r="H662" s="0" t="n">
        <f aca="false">IF(G662,1,0)</f>
        <v>1</v>
      </c>
      <c r="I662" s="0" t="n">
        <f aca="false">calc_cohort!$B$2*constant!$B$1*F662*H662</f>
        <v>0.302280068704614</v>
      </c>
      <c r="J662" s="0" t="n">
        <f aca="false">INDEX(table_spot_rate!B$1:B$2000,MATCH(A662,table_spot_rate!A$1:A$2000,0))</f>
        <v>0.0589090652539432</v>
      </c>
      <c r="K662" s="0" t="n">
        <f aca="false">(1+J662)^(-A662*constant!$B$1)</f>
        <v>0.042931232246173</v>
      </c>
      <c r="L662" s="0" t="n">
        <f aca="false">K662*I662</f>
        <v>0.0129772558329469</v>
      </c>
    </row>
    <row r="663" customFormat="false" ht="12.8" hidden="false" customHeight="false" outlineLevel="0" collapsed="false">
      <c r="A663" s="0" t="n">
        <v>661</v>
      </c>
      <c r="B663" s="0" t="n">
        <f aca="false">calc_cohort!D$2+constant!$B$1*A663</f>
        <v>86.2833333333333</v>
      </c>
      <c r="C663" s="0" t="n">
        <f aca="false">_xlfn.FLOOR.MATH(B663)</f>
        <v>86</v>
      </c>
      <c r="D663" s="4" t="n">
        <f aca="false">INDEX(table_mortality_rate!$A$1:$C$2000,MATCH(C663,table_mortality_rate!$A$1:$A$2000,0),MATCH(calc_cohort!$E$2,table_mortality_rate!A$1:C$1,0))</f>
        <v>0.120929</v>
      </c>
      <c r="E663" s="0" t="n">
        <f aca="false">(1-D663)^constant!$B$1</f>
        <v>0.989316675524362</v>
      </c>
      <c r="F663" s="0" t="n">
        <f aca="false">IF(A663=0,1,F662*E663)</f>
        <v>0.290811065784238</v>
      </c>
      <c r="G663" s="5" t="b">
        <f aca="false">B663&gt;=calc_cohort!C$2</f>
        <v>1</v>
      </c>
      <c r="H663" s="0" t="n">
        <f aca="false">IF(G663,1,0)</f>
        <v>1</v>
      </c>
      <c r="I663" s="0" t="n">
        <f aca="false">calc_cohort!$B$2*constant!$B$1*F663*H663</f>
        <v>0.299050712648124</v>
      </c>
      <c r="J663" s="0" t="n">
        <f aca="false">INDEX(table_spot_rate!B$1:B$2000,MATCH(A663,table_spot_rate!A$1:A$2000,0))</f>
        <v>0.0522405801842453</v>
      </c>
      <c r="K663" s="0" t="n">
        <f aca="false">(1+J663)^(-A663*constant!$B$1)</f>
        <v>0.060510329553915</v>
      </c>
      <c r="L663" s="0" t="n">
        <f aca="false">K663*I663</f>
        <v>0.0180956571756711</v>
      </c>
    </row>
    <row r="664" customFormat="false" ht="12.8" hidden="false" customHeight="false" outlineLevel="0" collapsed="false">
      <c r="A664" s="0" t="n">
        <v>662</v>
      </c>
      <c r="B664" s="0" t="n">
        <f aca="false">calc_cohort!D$2+constant!$B$1*A664</f>
        <v>86.3666666666667</v>
      </c>
      <c r="C664" s="0" t="n">
        <f aca="false">_xlfn.FLOOR.MATH(B664)</f>
        <v>86</v>
      </c>
      <c r="D664" s="4" t="n">
        <f aca="false">INDEX(table_mortality_rate!$A$1:$C$2000,MATCH(C664,table_mortality_rate!$A$1:$A$2000,0),MATCH(calc_cohort!$E$2,table_mortality_rate!A$1:C$1,0))</f>
        <v>0.120929</v>
      </c>
      <c r="E664" s="0" t="n">
        <f aca="false">(1-D664)^constant!$B$1</f>
        <v>0.989316675524362</v>
      </c>
      <c r="F664" s="0" t="n">
        <f aca="false">IF(A664=0,1,F663*E664)</f>
        <v>0.287704236807358</v>
      </c>
      <c r="G664" s="5" t="b">
        <f aca="false">B664&gt;=calc_cohort!C$2</f>
        <v>1</v>
      </c>
      <c r="H664" s="0" t="n">
        <f aca="false">IF(G664,1,0)</f>
        <v>1</v>
      </c>
      <c r="I664" s="0" t="n">
        <f aca="false">calc_cohort!$B$2*constant!$B$1*F664*H664</f>
        <v>0.295855856850233</v>
      </c>
      <c r="J664" s="0" t="n">
        <f aca="false">INDEX(table_spot_rate!B$1:B$2000,MATCH(A664,table_spot_rate!A$1:A$2000,0))</f>
        <v>0.0557075096235549</v>
      </c>
      <c r="K664" s="0" t="n">
        <f aca="false">(1+J664)^(-A664*constant!$B$1)</f>
        <v>0.0502547905986131</v>
      </c>
      <c r="L664" s="0" t="n">
        <f aca="false">K664*I664</f>
        <v>0.0148681741333817</v>
      </c>
    </row>
    <row r="665" customFormat="false" ht="12.8" hidden="false" customHeight="false" outlineLevel="0" collapsed="false">
      <c r="A665" s="0" t="n">
        <v>663</v>
      </c>
      <c r="B665" s="0" t="n">
        <f aca="false">calc_cohort!D$2+constant!$B$1*A665</f>
        <v>86.45</v>
      </c>
      <c r="C665" s="0" t="n">
        <f aca="false">_xlfn.FLOOR.MATH(B665)</f>
        <v>86</v>
      </c>
      <c r="D665" s="4" t="n">
        <f aca="false">INDEX(table_mortality_rate!$A$1:$C$2000,MATCH(C665,table_mortality_rate!$A$1:$A$2000,0),MATCH(calc_cohort!$E$2,table_mortality_rate!A$1:C$1,0))</f>
        <v>0.120929</v>
      </c>
      <c r="E665" s="0" t="n">
        <f aca="false">(1-D665)^constant!$B$1</f>
        <v>0.989316675524362</v>
      </c>
      <c r="F665" s="0" t="n">
        <f aca="false">IF(A665=0,1,F664*E665)</f>
        <v>0.284630599092529</v>
      </c>
      <c r="G665" s="5" t="b">
        <f aca="false">B665&gt;=calc_cohort!C$2</f>
        <v>1</v>
      </c>
      <c r="H665" s="0" t="n">
        <f aca="false">IF(G665,1,0)</f>
        <v>1</v>
      </c>
      <c r="I665" s="0" t="n">
        <f aca="false">calc_cohort!$B$2*constant!$B$1*F665*H665</f>
        <v>0.292695132733484</v>
      </c>
      <c r="J665" s="0" t="n">
        <f aca="false">INDEX(table_spot_rate!B$1:B$2000,MATCH(A665,table_spot_rate!A$1:A$2000,0))</f>
        <v>0.0560856809787826</v>
      </c>
      <c r="K665" s="0" t="n">
        <f aca="false">(1+J665)^(-A665*constant!$B$1)</f>
        <v>0.0490480479752812</v>
      </c>
      <c r="L665" s="0" t="n">
        <f aca="false">K665*I665</f>
        <v>0.0143561249124432</v>
      </c>
    </row>
    <row r="666" customFormat="false" ht="12.8" hidden="false" customHeight="false" outlineLevel="0" collapsed="false">
      <c r="A666" s="0" t="n">
        <v>664</v>
      </c>
      <c r="B666" s="0" t="n">
        <f aca="false">calc_cohort!D$2+constant!$B$1*A666</f>
        <v>86.5333333333333</v>
      </c>
      <c r="C666" s="0" t="n">
        <f aca="false">_xlfn.FLOOR.MATH(B666)</f>
        <v>86</v>
      </c>
      <c r="D666" s="4" t="n">
        <f aca="false">INDEX(table_mortality_rate!$A$1:$C$2000,MATCH(C666,table_mortality_rate!$A$1:$A$2000,0),MATCH(calc_cohort!$E$2,table_mortality_rate!A$1:C$1,0))</f>
        <v>0.120929</v>
      </c>
      <c r="E666" s="0" t="n">
        <f aca="false">(1-D666)^constant!$B$1</f>
        <v>0.989316675524362</v>
      </c>
      <c r="F666" s="0" t="n">
        <f aca="false">IF(A666=0,1,F665*E666)</f>
        <v>0.281589798046728</v>
      </c>
      <c r="G666" s="5" t="b">
        <f aca="false">B666&gt;=calc_cohort!C$2</f>
        <v>1</v>
      </c>
      <c r="H666" s="0" t="n">
        <f aca="false">IF(G666,1,0)</f>
        <v>1</v>
      </c>
      <c r="I666" s="0" t="n">
        <f aca="false">calc_cohort!$B$2*constant!$B$1*F666*H666</f>
        <v>0.289568175658052</v>
      </c>
      <c r="J666" s="0" t="n">
        <f aca="false">INDEX(table_spot_rate!B$1:B$2000,MATCH(A666,table_spot_rate!A$1:A$2000,0))</f>
        <v>0.056600895986503</v>
      </c>
      <c r="K666" s="0" t="n">
        <f aca="false">(1+J666)^(-A666*constant!$B$1)</f>
        <v>0.0475254317082781</v>
      </c>
      <c r="L666" s="0" t="n">
        <f aca="false">K666*I666</f>
        <v>0.0137618525571274</v>
      </c>
    </row>
    <row r="667" customFormat="false" ht="12.8" hidden="false" customHeight="false" outlineLevel="0" collapsed="false">
      <c r="A667" s="0" t="n">
        <v>665</v>
      </c>
      <c r="B667" s="0" t="n">
        <f aca="false">calc_cohort!D$2+constant!$B$1*A667</f>
        <v>86.6166666666667</v>
      </c>
      <c r="C667" s="0" t="n">
        <f aca="false">_xlfn.FLOOR.MATH(B667)</f>
        <v>86</v>
      </c>
      <c r="D667" s="4" t="n">
        <f aca="false">INDEX(table_mortality_rate!$A$1:$C$2000,MATCH(C667,table_mortality_rate!$A$1:$A$2000,0),MATCH(calc_cohort!$E$2,table_mortality_rate!A$1:C$1,0))</f>
        <v>0.120929</v>
      </c>
      <c r="E667" s="0" t="n">
        <f aca="false">(1-D667)^constant!$B$1</f>
        <v>0.989316675524362</v>
      </c>
      <c r="F667" s="0" t="n">
        <f aca="false">IF(A667=0,1,F666*E667)</f>
        <v>0.278581482865166</v>
      </c>
      <c r="G667" s="5" t="b">
        <f aca="false">B667&gt;=calc_cohort!C$2</f>
        <v>1</v>
      </c>
      <c r="H667" s="0" t="n">
        <f aca="false">IF(G667,1,0)</f>
        <v>1</v>
      </c>
      <c r="I667" s="0" t="n">
        <f aca="false">calc_cohort!$B$2*constant!$B$1*F667*H667</f>
        <v>0.286474624879679</v>
      </c>
      <c r="J667" s="0" t="n">
        <f aca="false">INDEX(table_spot_rate!B$1:B$2000,MATCH(A667,table_spot_rate!A$1:A$2000,0))</f>
        <v>0.0543508313555465</v>
      </c>
      <c r="K667" s="0" t="n">
        <f aca="false">(1+J667)^(-A667*constant!$B$1)</f>
        <v>0.0532402261509748</v>
      </c>
      <c r="L667" s="0" t="n">
        <f aca="false">K667*I667</f>
        <v>0.0152519738151098</v>
      </c>
    </row>
    <row r="668" customFormat="false" ht="12.8" hidden="false" customHeight="false" outlineLevel="0" collapsed="false">
      <c r="A668" s="0" t="n">
        <v>666</v>
      </c>
      <c r="B668" s="0" t="n">
        <f aca="false">calc_cohort!D$2+constant!$B$1*A668</f>
        <v>86.7</v>
      </c>
      <c r="C668" s="0" t="n">
        <f aca="false">_xlfn.FLOOR.MATH(B668)</f>
        <v>86</v>
      </c>
      <c r="D668" s="4" t="n">
        <f aca="false">INDEX(table_mortality_rate!$A$1:$C$2000,MATCH(C668,table_mortality_rate!$A$1:$A$2000,0),MATCH(calc_cohort!$E$2,table_mortality_rate!A$1:C$1,0))</f>
        <v>0.120929</v>
      </c>
      <c r="E668" s="0" t="n">
        <f aca="false">(1-D668)^constant!$B$1</f>
        <v>0.989316675524362</v>
      </c>
      <c r="F668" s="0" t="n">
        <f aca="false">IF(A668=0,1,F667*E668)</f>
        <v>0.275605306490813</v>
      </c>
      <c r="G668" s="5" t="b">
        <f aca="false">B668&gt;=calc_cohort!C$2</f>
        <v>1</v>
      </c>
      <c r="H668" s="0" t="n">
        <f aca="false">IF(G668,1,0)</f>
        <v>1</v>
      </c>
      <c r="I668" s="0" t="n">
        <f aca="false">calc_cohort!$B$2*constant!$B$1*F668*H668</f>
        <v>0.283414123508052</v>
      </c>
      <c r="J668" s="0" t="n">
        <f aca="false">INDEX(table_spot_rate!B$1:B$2000,MATCH(A668,table_spot_rate!A$1:A$2000,0))</f>
        <v>0.0589780348044891</v>
      </c>
      <c r="K668" s="0" t="n">
        <f aca="false">(1+J668)^(-A668*constant!$B$1)</f>
        <v>0.0415694384246666</v>
      </c>
      <c r="L668" s="0" t="n">
        <f aca="false">K668*I668</f>
        <v>0.0117813659558488</v>
      </c>
    </row>
    <row r="669" customFormat="false" ht="12.8" hidden="false" customHeight="false" outlineLevel="0" collapsed="false">
      <c r="A669" s="0" t="n">
        <v>667</v>
      </c>
      <c r="B669" s="0" t="n">
        <f aca="false">calc_cohort!D$2+constant!$B$1*A669</f>
        <v>86.7833333333333</v>
      </c>
      <c r="C669" s="0" t="n">
        <f aca="false">_xlfn.FLOOR.MATH(B669)</f>
        <v>86</v>
      </c>
      <c r="D669" s="4" t="n">
        <f aca="false">INDEX(table_mortality_rate!$A$1:$C$2000,MATCH(C669,table_mortality_rate!$A$1:$A$2000,0),MATCH(calc_cohort!$E$2,table_mortality_rate!A$1:C$1,0))</f>
        <v>0.120929</v>
      </c>
      <c r="E669" s="0" t="n">
        <f aca="false">(1-D669)^constant!$B$1</f>
        <v>0.989316675524362</v>
      </c>
      <c r="F669" s="0" t="n">
        <f aca="false">IF(A669=0,1,F668*E669)</f>
        <v>0.272660925574364</v>
      </c>
      <c r="G669" s="5" t="b">
        <f aca="false">B669&gt;=calc_cohort!C$2</f>
        <v>1</v>
      </c>
      <c r="H669" s="0" t="n">
        <f aca="false">IF(G669,1,0)</f>
        <v>1</v>
      </c>
      <c r="I669" s="0" t="n">
        <f aca="false">calc_cohort!$B$2*constant!$B$1*F669*H669</f>
        <v>0.280386318465637</v>
      </c>
      <c r="J669" s="0" t="n">
        <f aca="false">INDEX(table_spot_rate!B$1:B$2000,MATCH(A669,table_spot_rate!A$1:A$2000,0))</f>
        <v>0.0517915964722149</v>
      </c>
      <c r="K669" s="0" t="n">
        <f aca="false">(1+J669)^(-A669*constant!$B$1)</f>
        <v>0.0604052052229554</v>
      </c>
      <c r="L669" s="0" t="n">
        <f aca="false">K669*I669</f>
        <v>0.0169367931086257</v>
      </c>
    </row>
    <row r="670" customFormat="false" ht="12.8" hidden="false" customHeight="false" outlineLevel="0" collapsed="false">
      <c r="A670" s="0" t="n">
        <v>668</v>
      </c>
      <c r="B670" s="0" t="n">
        <f aca="false">calc_cohort!D$2+constant!$B$1*A670</f>
        <v>86.8666666666667</v>
      </c>
      <c r="C670" s="0" t="n">
        <f aca="false">_xlfn.FLOOR.MATH(B670)</f>
        <v>86</v>
      </c>
      <c r="D670" s="4" t="n">
        <f aca="false">INDEX(table_mortality_rate!$A$1:$C$2000,MATCH(C670,table_mortality_rate!$A$1:$A$2000,0),MATCH(calc_cohort!$E$2,table_mortality_rate!A$1:C$1,0))</f>
        <v>0.120929</v>
      </c>
      <c r="E670" s="0" t="n">
        <f aca="false">(1-D670)^constant!$B$1</f>
        <v>0.989316675524362</v>
      </c>
      <c r="F670" s="0" t="n">
        <f aca="false">IF(A670=0,1,F669*E670)</f>
        <v>0.269748000434625</v>
      </c>
      <c r="G670" s="5" t="b">
        <f aca="false">B670&gt;=calc_cohort!C$2</f>
        <v>1</v>
      </c>
      <c r="H670" s="0" t="n">
        <f aca="false">IF(G670,1,0)</f>
        <v>1</v>
      </c>
      <c r="I670" s="0" t="n">
        <f aca="false">calc_cohort!$B$2*constant!$B$1*F670*H670</f>
        <v>0.277390860446939</v>
      </c>
      <c r="J670" s="0" t="n">
        <f aca="false">INDEX(table_spot_rate!B$1:B$2000,MATCH(A670,table_spot_rate!A$1:A$2000,0))</f>
        <v>0.054594740836926</v>
      </c>
      <c r="K670" s="0" t="n">
        <f aca="false">(1+J670)^(-A670*constant!$B$1)</f>
        <v>0.0518682424619476</v>
      </c>
      <c r="L670" s="0" t="n">
        <f aca="false">K670*I670</f>
        <v>0.0143877764063901</v>
      </c>
    </row>
    <row r="671" customFormat="false" ht="12.8" hidden="false" customHeight="false" outlineLevel="0" collapsed="false">
      <c r="A671" s="0" t="n">
        <v>669</v>
      </c>
      <c r="B671" s="0" t="n">
        <f aca="false">calc_cohort!D$2+constant!$B$1*A671</f>
        <v>86.95</v>
      </c>
      <c r="C671" s="0" t="n">
        <f aca="false">_xlfn.FLOOR.MATH(B671)</f>
        <v>86</v>
      </c>
      <c r="D671" s="4" t="n">
        <f aca="false">INDEX(table_mortality_rate!$A$1:$C$2000,MATCH(C671,table_mortality_rate!$A$1:$A$2000,0),MATCH(calc_cohort!$E$2,table_mortality_rate!A$1:C$1,0))</f>
        <v>0.120929</v>
      </c>
      <c r="E671" s="0" t="n">
        <f aca="false">(1-D671)^constant!$B$1</f>
        <v>0.989316675524362</v>
      </c>
      <c r="F671" s="0" t="n">
        <f aca="false">IF(A671=0,1,F670*E671)</f>
        <v>0.266866195019327</v>
      </c>
      <c r="G671" s="5" t="b">
        <f aca="false">B671&gt;=calc_cohort!C$2</f>
        <v>1</v>
      </c>
      <c r="H671" s="0" t="n">
        <f aca="false">IF(G671,1,0)</f>
        <v>1</v>
      </c>
      <c r="I671" s="0" t="n">
        <f aca="false">calc_cohort!$B$2*constant!$B$1*F671*H671</f>
        <v>0.274427403878208</v>
      </c>
      <c r="J671" s="0" t="n">
        <f aca="false">INDEX(table_spot_rate!B$1:B$2000,MATCH(A671,table_spot_rate!A$1:A$2000,0))</f>
        <v>0.0509398972065599</v>
      </c>
      <c r="K671" s="0" t="n">
        <f aca="false">(1+J671)^(-A671*constant!$B$1)</f>
        <v>0.0626661784109363</v>
      </c>
      <c r="L671" s="0" t="n">
        <f aca="false">K671*I671</f>
        <v>0.0171973166522819</v>
      </c>
    </row>
    <row r="672" customFormat="false" ht="12.8" hidden="false" customHeight="false" outlineLevel="0" collapsed="false">
      <c r="A672" s="0" t="n">
        <v>670</v>
      </c>
      <c r="B672" s="0" t="n">
        <f aca="false">calc_cohort!D$2+constant!$B$1*A672</f>
        <v>87.0333333333333</v>
      </c>
      <c r="C672" s="0" t="n">
        <f aca="false">_xlfn.FLOOR.MATH(B672)</f>
        <v>87</v>
      </c>
      <c r="D672" s="4" t="n">
        <f aca="false">INDEX(table_mortality_rate!$A$1:$C$2000,MATCH(C672,table_mortality_rate!$A$1:$A$2000,0),MATCH(calc_cohort!$E$2,table_mortality_rate!A$1:C$1,0))</f>
        <v>0.132028</v>
      </c>
      <c r="E672" s="0" t="n">
        <f aca="false">(1-D672)^constant!$B$1</f>
        <v>0.988269690975095</v>
      </c>
      <c r="F672" s="0" t="n">
        <f aca="false">IF(A672=0,1,F671*E672)</f>
        <v>0.26373577208345</v>
      </c>
      <c r="G672" s="5" t="b">
        <f aca="false">B672&gt;=calc_cohort!C$2</f>
        <v>1</v>
      </c>
      <c r="H672" s="0" t="n">
        <f aca="false">IF(G672,1,0)</f>
        <v>1</v>
      </c>
      <c r="I672" s="0" t="n">
        <f aca="false">calc_cohort!$B$2*constant!$B$1*F672*H672</f>
        <v>0.271208285625814</v>
      </c>
      <c r="J672" s="0" t="n">
        <f aca="false">INDEX(table_spot_rate!B$1:B$2000,MATCH(A672,table_spot_rate!A$1:A$2000,0))</f>
        <v>0.0501256809012351</v>
      </c>
      <c r="K672" s="0" t="n">
        <f aca="false">(1+J672)^(-A672*constant!$B$1)</f>
        <v>0.0651671265266201</v>
      </c>
      <c r="L672" s="0" t="n">
        <f aca="false">K672*I672</f>
        <v>0.0176738646644451</v>
      </c>
    </row>
    <row r="673" customFormat="false" ht="12.8" hidden="false" customHeight="false" outlineLevel="0" collapsed="false">
      <c r="A673" s="0" t="n">
        <v>671</v>
      </c>
      <c r="B673" s="0" t="n">
        <f aca="false">calc_cohort!D$2+constant!$B$1*A673</f>
        <v>87.1166666666667</v>
      </c>
      <c r="C673" s="0" t="n">
        <f aca="false">_xlfn.FLOOR.MATH(B673)</f>
        <v>87</v>
      </c>
      <c r="D673" s="4" t="n">
        <f aca="false">INDEX(table_mortality_rate!$A$1:$C$2000,MATCH(C673,table_mortality_rate!$A$1:$A$2000,0),MATCH(calc_cohort!$E$2,table_mortality_rate!A$1:C$1,0))</f>
        <v>0.132028</v>
      </c>
      <c r="E673" s="0" t="n">
        <f aca="false">(1-D673)^constant!$B$1</f>
        <v>0.988269690975095</v>
      </c>
      <c r="F673" s="0" t="n">
        <f aca="false">IF(A673=0,1,F672*E673)</f>
        <v>0.260642069975989</v>
      </c>
      <c r="G673" s="5" t="b">
        <f aca="false">B673&gt;=calc_cohort!C$2</f>
        <v>1</v>
      </c>
      <c r="H673" s="0" t="n">
        <f aca="false">IF(G673,1,0)</f>
        <v>1</v>
      </c>
      <c r="I673" s="0" t="n">
        <f aca="false">calc_cohort!$B$2*constant!$B$1*F673*H673</f>
        <v>0.268026928625308</v>
      </c>
      <c r="J673" s="0" t="n">
        <f aca="false">INDEX(table_spot_rate!B$1:B$2000,MATCH(A673,table_spot_rate!A$1:A$2000,0))</f>
        <v>0.0560997087746578</v>
      </c>
      <c r="K673" s="0" t="n">
        <f aca="false">(1+J673)^(-A673*constant!$B$1)</f>
        <v>0.0472606542985709</v>
      </c>
      <c r="L673" s="0" t="n">
        <f aca="false">K673*I673</f>
        <v>0.0126671280164684</v>
      </c>
    </row>
    <row r="674" customFormat="false" ht="12.8" hidden="false" customHeight="false" outlineLevel="0" collapsed="false">
      <c r="A674" s="0" t="n">
        <v>672</v>
      </c>
      <c r="B674" s="0" t="n">
        <f aca="false">calc_cohort!D$2+constant!$B$1*A674</f>
        <v>87.2</v>
      </c>
      <c r="C674" s="0" t="n">
        <f aca="false">_xlfn.FLOOR.MATH(B674)</f>
        <v>87</v>
      </c>
      <c r="D674" s="4" t="n">
        <f aca="false">INDEX(table_mortality_rate!$A$1:$C$2000,MATCH(C674,table_mortality_rate!$A$1:$A$2000,0),MATCH(calc_cohort!$E$2,table_mortality_rate!A$1:C$1,0))</f>
        <v>0.132028</v>
      </c>
      <c r="E674" s="0" t="n">
        <f aca="false">(1-D674)^constant!$B$1</f>
        <v>0.988269690975095</v>
      </c>
      <c r="F674" s="0" t="n">
        <f aca="false">IF(A674=0,1,F673*E674)</f>
        <v>0.257584657950279</v>
      </c>
      <c r="G674" s="5" t="b">
        <f aca="false">B674&gt;=calc_cohort!C$2</f>
        <v>1</v>
      </c>
      <c r="H674" s="0" t="n">
        <f aca="false">IF(G674,1,0)</f>
        <v>1</v>
      </c>
      <c r="I674" s="0" t="n">
        <f aca="false">calc_cohort!$B$2*constant!$B$1*F674*H674</f>
        <v>0.264882889925537</v>
      </c>
      <c r="J674" s="0" t="n">
        <f aca="false">INDEX(table_spot_rate!B$1:B$2000,MATCH(A674,table_spot_rate!A$1:A$2000,0))</f>
        <v>0.0583218813403463</v>
      </c>
      <c r="K674" s="0" t="n">
        <f aca="false">(1+J674)^(-A674*constant!$B$1)</f>
        <v>0.041821978387773</v>
      </c>
      <c r="L674" s="0" t="n">
        <f aca="false">K674*I674</f>
        <v>0.0110779264977567</v>
      </c>
    </row>
    <row r="675" customFormat="false" ht="12.8" hidden="false" customHeight="false" outlineLevel="0" collapsed="false">
      <c r="A675" s="0" t="n">
        <v>673</v>
      </c>
      <c r="B675" s="0" t="n">
        <f aca="false">calc_cohort!D$2+constant!$B$1*A675</f>
        <v>87.2833333333333</v>
      </c>
      <c r="C675" s="0" t="n">
        <f aca="false">_xlfn.FLOOR.MATH(B675)</f>
        <v>87</v>
      </c>
      <c r="D675" s="4" t="n">
        <f aca="false">INDEX(table_mortality_rate!$A$1:$C$2000,MATCH(C675,table_mortality_rate!$A$1:$A$2000,0),MATCH(calc_cohort!$E$2,table_mortality_rate!A$1:C$1,0))</f>
        <v>0.132028</v>
      </c>
      <c r="E675" s="0" t="n">
        <f aca="false">(1-D675)^constant!$B$1</f>
        <v>0.988269690975095</v>
      </c>
      <c r="F675" s="0" t="n">
        <f aca="false">IF(A675=0,1,F674*E675)</f>
        <v>0.254563110312448</v>
      </c>
      <c r="G675" s="5" t="b">
        <f aca="false">B675&gt;=calc_cohort!C$2</f>
        <v>1</v>
      </c>
      <c r="H675" s="0" t="n">
        <f aca="false">IF(G675,1,0)</f>
        <v>1</v>
      </c>
      <c r="I675" s="0" t="n">
        <f aca="false">calc_cohort!$B$2*constant!$B$1*F675*H675</f>
        <v>0.261775731771301</v>
      </c>
      <c r="J675" s="0" t="n">
        <f aca="false">INDEX(table_spot_rate!B$1:B$2000,MATCH(A675,table_spot_rate!A$1:A$2000,0))</f>
        <v>0.0585779300034469</v>
      </c>
      <c r="K675" s="0" t="n">
        <f aca="false">(1+J675)^(-A675*constant!$B$1)</f>
        <v>0.0410639751931205</v>
      </c>
      <c r="L675" s="0" t="n">
        <f aca="false">K675*I675</f>
        <v>0.0107495521556177</v>
      </c>
    </row>
    <row r="676" customFormat="false" ht="12.8" hidden="false" customHeight="false" outlineLevel="0" collapsed="false">
      <c r="A676" s="0" t="n">
        <v>674</v>
      </c>
      <c r="B676" s="0" t="n">
        <f aca="false">calc_cohort!D$2+constant!$B$1*A676</f>
        <v>87.3666666666667</v>
      </c>
      <c r="C676" s="0" t="n">
        <f aca="false">_xlfn.FLOOR.MATH(B676)</f>
        <v>87</v>
      </c>
      <c r="D676" s="4" t="n">
        <f aca="false">INDEX(table_mortality_rate!$A$1:$C$2000,MATCH(C676,table_mortality_rate!$A$1:$A$2000,0),MATCH(calc_cohort!$E$2,table_mortality_rate!A$1:C$1,0))</f>
        <v>0.132028</v>
      </c>
      <c r="E676" s="0" t="n">
        <f aca="false">(1-D676)^constant!$B$1</f>
        <v>0.988269690975095</v>
      </c>
      <c r="F676" s="0" t="n">
        <f aca="false">IF(A676=0,1,F675*E676)</f>
        <v>0.251577006362142</v>
      </c>
      <c r="G676" s="5" t="b">
        <f aca="false">B676&gt;=calc_cohort!C$2</f>
        <v>1</v>
      </c>
      <c r="H676" s="0" t="n">
        <f aca="false">IF(G676,1,0)</f>
        <v>1</v>
      </c>
      <c r="I676" s="0" t="n">
        <f aca="false">calc_cohort!$B$2*constant!$B$1*F676*H676</f>
        <v>0.258705021542403</v>
      </c>
      <c r="J676" s="0" t="n">
        <f aca="false">INDEX(table_spot_rate!B$1:B$2000,MATCH(A676,table_spot_rate!A$1:A$2000,0))</f>
        <v>0.0592250242460443</v>
      </c>
      <c r="K676" s="0" t="n">
        <f aca="false">(1+J676)^(-A676*constant!$B$1)</f>
        <v>0.0394906495895072</v>
      </c>
      <c r="L676" s="0" t="n">
        <f aca="false">K676*I676</f>
        <v>0.0102164293527769</v>
      </c>
    </row>
    <row r="677" customFormat="false" ht="12.8" hidden="false" customHeight="false" outlineLevel="0" collapsed="false">
      <c r="A677" s="0" t="n">
        <v>675</v>
      </c>
      <c r="B677" s="0" t="n">
        <f aca="false">calc_cohort!D$2+constant!$B$1*A677</f>
        <v>87.45</v>
      </c>
      <c r="C677" s="0" t="n">
        <f aca="false">_xlfn.FLOOR.MATH(B677)</f>
        <v>87</v>
      </c>
      <c r="D677" s="4" t="n">
        <f aca="false">INDEX(table_mortality_rate!$A$1:$C$2000,MATCH(C677,table_mortality_rate!$A$1:$A$2000,0),MATCH(calc_cohort!$E$2,table_mortality_rate!A$1:C$1,0))</f>
        <v>0.132028</v>
      </c>
      <c r="E677" s="0" t="n">
        <f aca="false">(1-D677)^constant!$B$1</f>
        <v>0.988269690975095</v>
      </c>
      <c r="F677" s="0" t="n">
        <f aca="false">IF(A677=0,1,F676*E677)</f>
        <v>0.248625930333953</v>
      </c>
      <c r="G677" s="5" t="b">
        <f aca="false">B677&gt;=calc_cohort!C$2</f>
        <v>1</v>
      </c>
      <c r="H677" s="0" t="n">
        <f aca="false">IF(G677,1,0)</f>
        <v>1</v>
      </c>
      <c r="I677" s="0" t="n">
        <f aca="false">calc_cohort!$B$2*constant!$B$1*F677*H677</f>
        <v>0.255670331693415</v>
      </c>
      <c r="J677" s="0" t="n">
        <f aca="false">INDEX(table_spot_rate!B$1:B$2000,MATCH(A677,table_spot_rate!A$1:A$2000,0))</f>
        <v>0.0572715422221619</v>
      </c>
      <c r="K677" s="0" t="n">
        <f aca="false">(1+J677)^(-A677*constant!$B$1)</f>
        <v>0.0436020559794694</v>
      </c>
      <c r="L677" s="0" t="n">
        <f aca="false">K677*I677</f>
        <v>0.0111477521147858</v>
      </c>
    </row>
    <row r="678" customFormat="false" ht="12.8" hidden="false" customHeight="false" outlineLevel="0" collapsed="false">
      <c r="A678" s="0" t="n">
        <v>676</v>
      </c>
      <c r="B678" s="0" t="n">
        <f aca="false">calc_cohort!D$2+constant!$B$1*A678</f>
        <v>87.5333333333333</v>
      </c>
      <c r="C678" s="0" t="n">
        <f aca="false">_xlfn.FLOOR.MATH(B678)</f>
        <v>87</v>
      </c>
      <c r="D678" s="4" t="n">
        <f aca="false">INDEX(table_mortality_rate!$A$1:$C$2000,MATCH(C678,table_mortality_rate!$A$1:$A$2000,0),MATCH(calc_cohort!$E$2,table_mortality_rate!A$1:C$1,0))</f>
        <v>0.132028</v>
      </c>
      <c r="E678" s="0" t="n">
        <f aca="false">(1-D678)^constant!$B$1</f>
        <v>0.988269690975095</v>
      </c>
      <c r="F678" s="0" t="n">
        <f aca="false">IF(A678=0,1,F677*E678)</f>
        <v>0.245709471339532</v>
      </c>
      <c r="G678" s="5" t="b">
        <f aca="false">B678&gt;=calc_cohort!C$2</f>
        <v>1</v>
      </c>
      <c r="H678" s="0" t="n">
        <f aca="false">IF(G678,1,0)</f>
        <v>1</v>
      </c>
      <c r="I678" s="0" t="n">
        <f aca="false">calc_cohort!$B$2*constant!$B$1*F678*H678</f>
        <v>0.252671239694152</v>
      </c>
      <c r="J678" s="0" t="n">
        <f aca="false">INDEX(table_spot_rate!B$1:B$2000,MATCH(A678,table_spot_rate!A$1:A$2000,0))</f>
        <v>0.0574970420377162</v>
      </c>
      <c r="K678" s="0" t="n">
        <f aca="false">(1+J678)^(-A678*constant!$B$1)</f>
        <v>0.0428818896815907</v>
      </c>
      <c r="L678" s="0" t="n">
        <f aca="false">K678*I678</f>
        <v>0.0108350202262754</v>
      </c>
    </row>
    <row r="679" customFormat="false" ht="12.8" hidden="false" customHeight="false" outlineLevel="0" collapsed="false">
      <c r="A679" s="0" t="n">
        <v>677</v>
      </c>
      <c r="B679" s="0" t="n">
        <f aca="false">calc_cohort!D$2+constant!$B$1*A679</f>
        <v>87.6166666666667</v>
      </c>
      <c r="C679" s="0" t="n">
        <f aca="false">_xlfn.FLOOR.MATH(B679)</f>
        <v>87</v>
      </c>
      <c r="D679" s="4" t="n">
        <f aca="false">INDEX(table_mortality_rate!$A$1:$C$2000,MATCH(C679,table_mortality_rate!$A$1:$A$2000,0),MATCH(calc_cohort!$E$2,table_mortality_rate!A$1:C$1,0))</f>
        <v>0.132028</v>
      </c>
      <c r="E679" s="0" t="n">
        <f aca="false">(1-D679)^constant!$B$1</f>
        <v>0.988269690975095</v>
      </c>
      <c r="F679" s="0" t="n">
        <f aca="false">IF(A679=0,1,F678*E679)</f>
        <v>0.242827223310373</v>
      </c>
      <c r="G679" s="5" t="b">
        <f aca="false">B679&gt;=calc_cohort!C$2</f>
        <v>1</v>
      </c>
      <c r="H679" s="0" t="n">
        <f aca="false">IF(G679,1,0)</f>
        <v>1</v>
      </c>
      <c r="I679" s="0" t="n">
        <f aca="false">calc_cohort!$B$2*constant!$B$1*F679*H679</f>
        <v>0.249707327970833</v>
      </c>
      <c r="J679" s="0" t="n">
        <f aca="false">INDEX(table_spot_rate!B$1:B$2000,MATCH(A679,table_spot_rate!A$1:A$2000,0))</f>
        <v>0.0594026535766196</v>
      </c>
      <c r="K679" s="0" t="n">
        <f aca="false">(1+J679)^(-A679*constant!$B$1)</f>
        <v>0.0385601517081323</v>
      </c>
      <c r="L679" s="0" t="n">
        <f aca="false">K679*I679</f>
        <v>0.00962875244918767</v>
      </c>
    </row>
    <row r="680" customFormat="false" ht="12.8" hidden="false" customHeight="false" outlineLevel="0" collapsed="false">
      <c r="A680" s="0" t="n">
        <v>678</v>
      </c>
      <c r="B680" s="0" t="n">
        <f aca="false">calc_cohort!D$2+constant!$B$1*A680</f>
        <v>87.7</v>
      </c>
      <c r="C680" s="0" t="n">
        <f aca="false">_xlfn.FLOOR.MATH(B680)</f>
        <v>87</v>
      </c>
      <c r="D680" s="4" t="n">
        <f aca="false">INDEX(table_mortality_rate!$A$1:$C$2000,MATCH(C680,table_mortality_rate!$A$1:$A$2000,0),MATCH(calc_cohort!$E$2,table_mortality_rate!A$1:C$1,0))</f>
        <v>0.132028</v>
      </c>
      <c r="E680" s="0" t="n">
        <f aca="false">(1-D680)^constant!$B$1</f>
        <v>0.988269690975095</v>
      </c>
      <c r="F680" s="0" t="n">
        <f aca="false">IF(A680=0,1,F679*E680)</f>
        <v>0.239978784941282</v>
      </c>
      <c r="G680" s="5" t="b">
        <f aca="false">B680&gt;=calc_cohort!C$2</f>
        <v>1</v>
      </c>
      <c r="H680" s="0" t="n">
        <f aca="false">IF(G680,1,0)</f>
        <v>1</v>
      </c>
      <c r="I680" s="0" t="n">
        <f aca="false">calc_cohort!$B$2*constant!$B$1*F680*H680</f>
        <v>0.246778183847952</v>
      </c>
      <c r="J680" s="0" t="n">
        <f aca="false">INDEX(table_spot_rate!B$1:B$2000,MATCH(A680,table_spot_rate!A$1:A$2000,0))</f>
        <v>0.0574163750896068</v>
      </c>
      <c r="K680" s="0" t="n">
        <f aca="false">(1+J680)^(-A680*constant!$B$1)</f>
        <v>0.0426676983120514</v>
      </c>
      <c r="L680" s="0" t="n">
        <f aca="false">K680*I680</f>
        <v>0.0105294570984204</v>
      </c>
    </row>
    <row r="681" customFormat="false" ht="12.8" hidden="false" customHeight="false" outlineLevel="0" collapsed="false">
      <c r="A681" s="0" t="n">
        <v>679</v>
      </c>
      <c r="B681" s="0" t="n">
        <f aca="false">calc_cohort!D$2+constant!$B$1*A681</f>
        <v>87.7833333333333</v>
      </c>
      <c r="C681" s="0" t="n">
        <f aca="false">_xlfn.FLOOR.MATH(B681)</f>
        <v>87</v>
      </c>
      <c r="D681" s="4" t="n">
        <f aca="false">INDEX(table_mortality_rate!$A$1:$C$2000,MATCH(C681,table_mortality_rate!$A$1:$A$2000,0),MATCH(calc_cohort!$E$2,table_mortality_rate!A$1:C$1,0))</f>
        <v>0.132028</v>
      </c>
      <c r="E681" s="0" t="n">
        <f aca="false">(1-D681)^constant!$B$1</f>
        <v>0.988269690975095</v>
      </c>
      <c r="F681" s="0" t="n">
        <f aca="false">IF(A681=0,1,F680*E681)</f>
        <v>0.2371637596345</v>
      </c>
      <c r="G681" s="5" t="b">
        <f aca="false">B681&gt;=calc_cohort!C$2</f>
        <v>1</v>
      </c>
      <c r="H681" s="0" t="n">
        <f aca="false">IF(G681,1,0)</f>
        <v>1</v>
      </c>
      <c r="I681" s="0" t="n">
        <f aca="false">calc_cohort!$B$2*constant!$B$1*F681*H681</f>
        <v>0.243883399490811</v>
      </c>
      <c r="J681" s="0" t="n">
        <f aca="false">INDEX(table_spot_rate!B$1:B$2000,MATCH(A681,table_spot_rate!A$1:A$2000,0))</f>
        <v>0.0546882654464039</v>
      </c>
      <c r="K681" s="0" t="n">
        <f aca="false">(1+J681)^(-A681*constant!$B$1)</f>
        <v>0.0491541903875226</v>
      </c>
      <c r="L681" s="0" t="n">
        <f aca="false">K681*I681</f>
        <v>0.0119878910509275</v>
      </c>
    </row>
    <row r="682" customFormat="false" ht="12.8" hidden="false" customHeight="false" outlineLevel="0" collapsed="false">
      <c r="A682" s="0" t="n">
        <v>680</v>
      </c>
      <c r="B682" s="0" t="n">
        <f aca="false">calc_cohort!D$2+constant!$B$1*A682</f>
        <v>87.8666666666667</v>
      </c>
      <c r="C682" s="0" t="n">
        <f aca="false">_xlfn.FLOOR.MATH(B682)</f>
        <v>87</v>
      </c>
      <c r="D682" s="4" t="n">
        <f aca="false">INDEX(table_mortality_rate!$A$1:$C$2000,MATCH(C682,table_mortality_rate!$A$1:$A$2000,0),MATCH(calc_cohort!$E$2,table_mortality_rate!A$1:C$1,0))</f>
        <v>0.132028</v>
      </c>
      <c r="E682" s="0" t="n">
        <f aca="false">(1-D682)^constant!$B$1</f>
        <v>0.988269690975095</v>
      </c>
      <c r="F682" s="0" t="n">
        <f aca="false">IF(A682=0,1,F681*E682)</f>
        <v>0.234381755444479</v>
      </c>
      <c r="G682" s="5" t="b">
        <f aca="false">B682&gt;=calc_cohort!C$2</f>
        <v>1</v>
      </c>
      <c r="H682" s="0" t="n">
        <f aca="false">IF(G682,1,0)</f>
        <v>1</v>
      </c>
      <c r="I682" s="0" t="n">
        <f aca="false">calc_cohort!$B$2*constant!$B$1*F682*H682</f>
        <v>0.241022571848739</v>
      </c>
      <c r="J682" s="0" t="n">
        <f aca="false">INDEX(table_spot_rate!B$1:B$2000,MATCH(A682,table_spot_rate!A$1:A$2000,0))</f>
        <v>0.0563858175159429</v>
      </c>
      <c r="K682" s="0" t="n">
        <f aca="false">(1+J682)^(-A682*constant!$B$1)</f>
        <v>0.0446739981702903</v>
      </c>
      <c r="L682" s="0" t="n">
        <f aca="false">K682*I682</f>
        <v>0.0107674419337692</v>
      </c>
    </row>
    <row r="683" customFormat="false" ht="12.8" hidden="false" customHeight="false" outlineLevel="0" collapsed="false">
      <c r="A683" s="0" t="n">
        <v>681</v>
      </c>
      <c r="B683" s="0" t="n">
        <f aca="false">calc_cohort!D$2+constant!$B$1*A683</f>
        <v>87.95</v>
      </c>
      <c r="C683" s="0" t="n">
        <f aca="false">_xlfn.FLOOR.MATH(B683)</f>
        <v>87</v>
      </c>
      <c r="D683" s="4" t="n">
        <f aca="false">INDEX(table_mortality_rate!$A$1:$C$2000,MATCH(C683,table_mortality_rate!$A$1:$A$2000,0),MATCH(calc_cohort!$E$2,table_mortality_rate!A$1:C$1,0))</f>
        <v>0.132028</v>
      </c>
      <c r="E683" s="0" t="n">
        <f aca="false">(1-D683)^constant!$B$1</f>
        <v>0.988269690975095</v>
      </c>
      <c r="F683" s="0" t="n">
        <f aca="false">IF(A683=0,1,F682*E683)</f>
        <v>0.231632385023315</v>
      </c>
      <c r="G683" s="5" t="b">
        <f aca="false">B683&gt;=calc_cohort!C$2</f>
        <v>1</v>
      </c>
      <c r="H683" s="0" t="n">
        <f aca="false">IF(G683,1,0)</f>
        <v>1</v>
      </c>
      <c r="I683" s="0" t="n">
        <f aca="false">calc_cohort!$B$2*constant!$B$1*F683*H683</f>
        <v>0.238195302598976</v>
      </c>
      <c r="J683" s="0" t="n">
        <f aca="false">INDEX(table_spot_rate!B$1:B$2000,MATCH(A683,table_spot_rate!A$1:A$2000,0))</f>
        <v>0.0559817710279559</v>
      </c>
      <c r="K683" s="0" t="n">
        <f aca="false">(1+J683)^(-A683*constant!$B$1)</f>
        <v>0.0454462544638444</v>
      </c>
      <c r="L683" s="0" t="n">
        <f aca="false">K683*I683</f>
        <v>0.0108250843340055</v>
      </c>
    </row>
    <row r="684" customFormat="false" ht="12.8" hidden="false" customHeight="false" outlineLevel="0" collapsed="false">
      <c r="A684" s="0" t="n">
        <v>682</v>
      </c>
      <c r="B684" s="0" t="n">
        <f aca="false">calc_cohort!D$2+constant!$B$1*A684</f>
        <v>88.0333333333333</v>
      </c>
      <c r="C684" s="0" t="n">
        <f aca="false">_xlfn.FLOOR.MATH(B684)</f>
        <v>88</v>
      </c>
      <c r="D684" s="4" t="n">
        <f aca="false">INDEX(table_mortality_rate!$A$1:$C$2000,MATCH(C684,table_mortality_rate!$A$1:$A$2000,0),MATCH(calc_cohort!$E$2,table_mortality_rate!A$1:C$1,0))</f>
        <v>0.143929</v>
      </c>
      <c r="E684" s="0" t="n">
        <f aca="false">(1-D684)^constant!$B$1</f>
        <v>0.987133329035414</v>
      </c>
      <c r="F684" s="0" t="n">
        <f aca="false">IF(A684=0,1,F683*E684)</f>
        <v>0.228652047340478</v>
      </c>
      <c r="G684" s="5" t="b">
        <f aca="false">B684&gt;=calc_cohort!C$2</f>
        <v>1</v>
      </c>
      <c r="H684" s="0" t="n">
        <f aca="false">IF(G684,1,0)</f>
        <v>1</v>
      </c>
      <c r="I684" s="0" t="n">
        <f aca="false">calc_cohort!$B$2*constant!$B$1*F684*H684</f>
        <v>0.235130522015125</v>
      </c>
      <c r="J684" s="0" t="n">
        <f aca="false">INDEX(table_spot_rate!B$1:B$2000,MATCH(A684,table_spot_rate!A$1:A$2000,0))</f>
        <v>0.055035685428079</v>
      </c>
      <c r="K684" s="0" t="n">
        <f aca="false">(1+J684)^(-A684*constant!$B$1)</f>
        <v>0.0476047557704956</v>
      </c>
      <c r="L684" s="0" t="n">
        <f aca="false">K684*I684</f>
        <v>0.0111933310747192</v>
      </c>
    </row>
    <row r="685" customFormat="false" ht="12.8" hidden="false" customHeight="false" outlineLevel="0" collapsed="false">
      <c r="A685" s="0" t="n">
        <v>683</v>
      </c>
      <c r="B685" s="0" t="n">
        <f aca="false">calc_cohort!D$2+constant!$B$1*A685</f>
        <v>88.1166666666667</v>
      </c>
      <c r="C685" s="0" t="n">
        <f aca="false">_xlfn.FLOOR.MATH(B685)</f>
        <v>88</v>
      </c>
      <c r="D685" s="4" t="n">
        <f aca="false">INDEX(table_mortality_rate!$A$1:$C$2000,MATCH(C685,table_mortality_rate!$A$1:$A$2000,0),MATCH(calc_cohort!$E$2,table_mortality_rate!A$1:C$1,0))</f>
        <v>0.143929</v>
      </c>
      <c r="E685" s="0" t="n">
        <f aca="false">(1-D685)^constant!$B$1</f>
        <v>0.987133329035414</v>
      </c>
      <c r="F685" s="0" t="n">
        <f aca="false">IF(A685=0,1,F684*E685)</f>
        <v>0.225710056681969</v>
      </c>
      <c r="G685" s="5" t="b">
        <f aca="false">B685&gt;=calc_cohort!C$2</f>
        <v>1</v>
      </c>
      <c r="H685" s="0" t="n">
        <f aca="false">IF(G685,1,0)</f>
        <v>1</v>
      </c>
      <c r="I685" s="0" t="n">
        <f aca="false">calc_cohort!$B$2*constant!$B$1*F685*H685</f>
        <v>0.232105174954625</v>
      </c>
      <c r="J685" s="0" t="n">
        <f aca="false">INDEX(table_spot_rate!B$1:B$2000,MATCH(A685,table_spot_rate!A$1:A$2000,0))</f>
        <v>0.0517510773704696</v>
      </c>
      <c r="K685" s="0" t="n">
        <f aca="false">(1+J685)^(-A685*constant!$B$1)</f>
        <v>0.0565961701265248</v>
      </c>
      <c r="L685" s="0" t="n">
        <f aca="false">K685*I685</f>
        <v>0.0131362639689788</v>
      </c>
    </row>
    <row r="686" customFormat="false" ht="12.8" hidden="false" customHeight="false" outlineLevel="0" collapsed="false">
      <c r="A686" s="0" t="n">
        <v>684</v>
      </c>
      <c r="B686" s="0" t="n">
        <f aca="false">calc_cohort!D$2+constant!$B$1*A686</f>
        <v>88.2</v>
      </c>
      <c r="C686" s="0" t="n">
        <f aca="false">_xlfn.FLOOR.MATH(B686)</f>
        <v>88</v>
      </c>
      <c r="D686" s="4" t="n">
        <f aca="false">INDEX(table_mortality_rate!$A$1:$C$2000,MATCH(C686,table_mortality_rate!$A$1:$A$2000,0),MATCH(calc_cohort!$E$2,table_mortality_rate!A$1:C$1,0))</f>
        <v>0.143929</v>
      </c>
      <c r="E686" s="0" t="n">
        <f aca="false">(1-D686)^constant!$B$1</f>
        <v>0.987133329035414</v>
      </c>
      <c r="F686" s="0" t="n">
        <f aca="false">IF(A686=0,1,F685*E686)</f>
        <v>0.222805919649244</v>
      </c>
      <c r="G686" s="5" t="b">
        <f aca="false">B686&gt;=calc_cohort!C$2</f>
        <v>1</v>
      </c>
      <c r="H686" s="0" t="n">
        <f aca="false">IF(G686,1,0)</f>
        <v>1</v>
      </c>
      <c r="I686" s="0" t="n">
        <f aca="false">calc_cohort!$B$2*constant!$B$1*F686*H686</f>
        <v>0.229118754039306</v>
      </c>
      <c r="J686" s="0" t="n">
        <f aca="false">INDEX(table_spot_rate!B$1:B$2000,MATCH(A686,table_spot_rate!A$1:A$2000,0))</f>
        <v>0.051046228713994</v>
      </c>
      <c r="K686" s="0" t="n">
        <f aca="false">(1+J686)^(-A686*constant!$B$1)</f>
        <v>0.0585539718794766</v>
      </c>
      <c r="L686" s="0" t="n">
        <f aca="false">K686*I686</f>
        <v>0.0134158130810782</v>
      </c>
    </row>
    <row r="687" customFormat="false" ht="12.8" hidden="false" customHeight="false" outlineLevel="0" collapsed="false">
      <c r="A687" s="0" t="n">
        <v>685</v>
      </c>
      <c r="B687" s="0" t="n">
        <f aca="false">calc_cohort!D$2+constant!$B$1*A687</f>
        <v>88.2833333333333</v>
      </c>
      <c r="C687" s="0" t="n">
        <f aca="false">_xlfn.FLOOR.MATH(B687)</f>
        <v>88</v>
      </c>
      <c r="D687" s="4" t="n">
        <f aca="false">INDEX(table_mortality_rate!$A$1:$C$2000,MATCH(C687,table_mortality_rate!$A$1:$A$2000,0),MATCH(calc_cohort!$E$2,table_mortality_rate!A$1:C$1,0))</f>
        <v>0.143929</v>
      </c>
      <c r="E687" s="0" t="n">
        <f aca="false">(1-D687)^constant!$B$1</f>
        <v>0.987133329035414</v>
      </c>
      <c r="F687" s="0" t="n">
        <f aca="false">IF(A687=0,1,F686*E687)</f>
        <v>0.219939149192155</v>
      </c>
      <c r="G687" s="5" t="b">
        <f aca="false">B687&gt;=calc_cohort!C$2</f>
        <v>1</v>
      </c>
      <c r="H687" s="0" t="n">
        <f aca="false">IF(G687,1,0)</f>
        <v>1</v>
      </c>
      <c r="I687" s="0" t="n">
        <f aca="false">calc_cohort!$B$2*constant!$B$1*F687*H687</f>
        <v>0.226170758419266</v>
      </c>
      <c r="J687" s="0" t="n">
        <f aca="false">INDEX(table_spot_rate!B$1:B$2000,MATCH(A687,table_spot_rate!A$1:A$2000,0))</f>
        <v>0.0552556023277012</v>
      </c>
      <c r="K687" s="0" t="n">
        <f aca="false">(1+J687)^(-A687*constant!$B$1)</f>
        <v>0.0464158745579482</v>
      </c>
      <c r="L687" s="0" t="n">
        <f aca="false">K687*I687</f>
        <v>0.0104979135514647</v>
      </c>
    </row>
    <row r="688" customFormat="false" ht="12.8" hidden="false" customHeight="false" outlineLevel="0" collapsed="false">
      <c r="A688" s="0" t="n">
        <v>686</v>
      </c>
      <c r="B688" s="0" t="n">
        <f aca="false">calc_cohort!D$2+constant!$B$1*A688</f>
        <v>88.3666666666667</v>
      </c>
      <c r="C688" s="0" t="n">
        <f aca="false">_xlfn.FLOOR.MATH(B688)</f>
        <v>88</v>
      </c>
      <c r="D688" s="4" t="n">
        <f aca="false">INDEX(table_mortality_rate!$A$1:$C$2000,MATCH(C688,table_mortality_rate!$A$1:$A$2000,0),MATCH(calc_cohort!$E$2,table_mortality_rate!A$1:C$1,0))</f>
        <v>0.143929</v>
      </c>
      <c r="E688" s="0" t="n">
        <f aca="false">(1-D688)^constant!$B$1</f>
        <v>0.987133329035414</v>
      </c>
      <c r="F688" s="0" t="n">
        <f aca="false">IF(A688=0,1,F687*E688)</f>
        <v>0.217109264527269</v>
      </c>
      <c r="G688" s="5" t="b">
        <f aca="false">B688&gt;=calc_cohort!C$2</f>
        <v>1</v>
      </c>
      <c r="H688" s="0" t="n">
        <f aca="false">IF(G688,1,0)</f>
        <v>1</v>
      </c>
      <c r="I688" s="0" t="n">
        <f aca="false">calc_cohort!$B$2*constant!$B$1*F688*H688</f>
        <v>0.223260693688875</v>
      </c>
      <c r="J688" s="0" t="n">
        <f aca="false">INDEX(table_spot_rate!B$1:B$2000,MATCH(A688,table_spot_rate!A$1:A$2000,0))</f>
        <v>0.0593870875815332</v>
      </c>
      <c r="K688" s="0" t="n">
        <f aca="false">(1+J688)^(-A688*constant!$B$1)</f>
        <v>0.0369579381504808</v>
      </c>
      <c r="L688" s="0" t="n">
        <f aca="false">K688*I688</f>
        <v>0.00825125490878688</v>
      </c>
    </row>
    <row r="689" customFormat="false" ht="12.8" hidden="false" customHeight="false" outlineLevel="0" collapsed="false">
      <c r="A689" s="0" t="n">
        <v>687</v>
      </c>
      <c r="B689" s="0" t="n">
        <f aca="false">calc_cohort!D$2+constant!$B$1*A689</f>
        <v>88.45</v>
      </c>
      <c r="C689" s="0" t="n">
        <f aca="false">_xlfn.FLOOR.MATH(B689)</f>
        <v>88</v>
      </c>
      <c r="D689" s="4" t="n">
        <f aca="false">INDEX(table_mortality_rate!$A$1:$C$2000,MATCH(C689,table_mortality_rate!$A$1:$A$2000,0),MATCH(calc_cohort!$E$2,table_mortality_rate!A$1:C$1,0))</f>
        <v>0.143929</v>
      </c>
      <c r="E689" s="0" t="n">
        <f aca="false">(1-D689)^constant!$B$1</f>
        <v>0.987133329035414</v>
      </c>
      <c r="F689" s="0" t="n">
        <f aca="false">IF(A689=0,1,F688*E689)</f>
        <v>0.214315791057233</v>
      </c>
      <c r="G689" s="5" t="b">
        <f aca="false">B689&gt;=calc_cohort!C$2</f>
        <v>1</v>
      </c>
      <c r="H689" s="0" t="n">
        <f aca="false">IF(G689,1,0)</f>
        <v>1</v>
      </c>
      <c r="I689" s="0" t="n">
        <f aca="false">calc_cohort!$B$2*constant!$B$1*F689*H689</f>
        <v>0.220388071803855</v>
      </c>
      <c r="J689" s="0" t="n">
        <f aca="false">INDEX(table_spot_rate!B$1:B$2000,MATCH(A689,table_spot_rate!A$1:A$2000,0))</f>
        <v>0.0557748801851312</v>
      </c>
      <c r="K689" s="0" t="n">
        <f aca="false">(1+J689)^(-A689*constant!$B$1)</f>
        <v>0.0447241051608594</v>
      </c>
      <c r="L689" s="0" t="n">
        <f aca="false">K689*I689</f>
        <v>0.00985665929955464</v>
      </c>
    </row>
    <row r="690" customFormat="false" ht="12.8" hidden="false" customHeight="false" outlineLevel="0" collapsed="false">
      <c r="A690" s="0" t="n">
        <v>688</v>
      </c>
      <c r="B690" s="0" t="n">
        <f aca="false">calc_cohort!D$2+constant!$B$1*A690</f>
        <v>88.5333333333333</v>
      </c>
      <c r="C690" s="0" t="n">
        <f aca="false">_xlfn.FLOOR.MATH(B690)</f>
        <v>88</v>
      </c>
      <c r="D690" s="4" t="n">
        <f aca="false">INDEX(table_mortality_rate!$A$1:$C$2000,MATCH(C690,table_mortality_rate!$A$1:$A$2000,0),MATCH(calc_cohort!$E$2,table_mortality_rate!A$1:C$1,0))</f>
        <v>0.143929</v>
      </c>
      <c r="E690" s="0" t="n">
        <f aca="false">(1-D690)^constant!$B$1</f>
        <v>0.987133329035414</v>
      </c>
      <c r="F690" s="0" t="n">
        <f aca="false">IF(A690=0,1,F689*E690)</f>
        <v>0.211558260291185</v>
      </c>
      <c r="G690" s="5" t="b">
        <f aca="false">B690&gt;=calc_cohort!C$2</f>
        <v>1</v>
      </c>
      <c r="H690" s="0" t="n">
        <f aca="false">IF(G690,1,0)</f>
        <v>1</v>
      </c>
      <c r="I690" s="0" t="n">
        <f aca="false">calc_cohort!$B$2*constant!$B$1*F690*H690</f>
        <v>0.217552410999435</v>
      </c>
      <c r="J690" s="0" t="n">
        <f aca="false">INDEX(table_spot_rate!B$1:B$2000,MATCH(A690,table_spot_rate!A$1:A$2000,0))</f>
        <v>0.0577006837679095</v>
      </c>
      <c r="K690" s="0" t="n">
        <f aca="false">(1+J690)^(-A690*constant!$B$1)</f>
        <v>0.0401051661917008</v>
      </c>
      <c r="L690" s="0" t="n">
        <f aca="false">K690*I690</f>
        <v>0.00872497559853754</v>
      </c>
    </row>
    <row r="691" customFormat="false" ht="12.8" hidden="false" customHeight="false" outlineLevel="0" collapsed="false">
      <c r="A691" s="0" t="n">
        <v>689</v>
      </c>
      <c r="B691" s="0" t="n">
        <f aca="false">calc_cohort!D$2+constant!$B$1*A691</f>
        <v>88.6166666666667</v>
      </c>
      <c r="C691" s="0" t="n">
        <f aca="false">_xlfn.FLOOR.MATH(B691)</f>
        <v>88</v>
      </c>
      <c r="D691" s="4" t="n">
        <f aca="false">INDEX(table_mortality_rate!$A$1:$C$2000,MATCH(C691,table_mortality_rate!$A$1:$A$2000,0),MATCH(calc_cohort!$E$2,table_mortality_rate!A$1:C$1,0))</f>
        <v>0.143929</v>
      </c>
      <c r="E691" s="0" t="n">
        <f aca="false">(1-D691)^constant!$B$1</f>
        <v>0.987133329035414</v>
      </c>
      <c r="F691" s="0" t="n">
        <f aca="false">IF(A691=0,1,F690*E691)</f>
        <v>0.208836209766178</v>
      </c>
      <c r="G691" s="5" t="b">
        <f aca="false">B691&gt;=calc_cohort!C$2</f>
        <v>1</v>
      </c>
      <c r="H691" s="0" t="n">
        <f aca="false">IF(G691,1,0)</f>
        <v>1</v>
      </c>
      <c r="I691" s="0" t="n">
        <f aca="false">calc_cohort!$B$2*constant!$B$1*F691*H691</f>
        <v>0.214753235709553</v>
      </c>
      <c r="J691" s="0" t="n">
        <f aca="false">INDEX(table_spot_rate!B$1:B$2000,MATCH(A691,table_spot_rate!A$1:A$2000,0))</f>
        <v>0.05160235724831</v>
      </c>
      <c r="K691" s="0" t="n">
        <f aca="false">(1+J691)^(-A691*constant!$B$1)</f>
        <v>0.0556361133827248</v>
      </c>
      <c r="L691" s="0" t="n">
        <f aca="false">K691*I691</f>
        <v>0.0119480353712437</v>
      </c>
    </row>
    <row r="692" customFormat="false" ht="12.8" hidden="false" customHeight="false" outlineLevel="0" collapsed="false">
      <c r="A692" s="0" t="n">
        <v>690</v>
      </c>
      <c r="B692" s="0" t="n">
        <f aca="false">calc_cohort!D$2+constant!$B$1*A692</f>
        <v>88.7</v>
      </c>
      <c r="C692" s="0" t="n">
        <f aca="false">_xlfn.FLOOR.MATH(B692)</f>
        <v>88</v>
      </c>
      <c r="D692" s="4" t="n">
        <f aca="false">INDEX(table_mortality_rate!$A$1:$C$2000,MATCH(C692,table_mortality_rate!$A$1:$A$2000,0),MATCH(calc_cohort!$E$2,table_mortality_rate!A$1:C$1,0))</f>
        <v>0.143929</v>
      </c>
      <c r="E692" s="0" t="n">
        <f aca="false">(1-D692)^constant!$B$1</f>
        <v>0.987133329035414</v>
      </c>
      <c r="F692" s="0" t="n">
        <f aca="false">IF(A692=0,1,F691*E692)</f>
        <v>0.206149182969625</v>
      </c>
      <c r="G692" s="5" t="b">
        <f aca="false">B692&gt;=calc_cohort!C$2</f>
        <v>1</v>
      </c>
      <c r="H692" s="0" t="n">
        <f aca="false">IF(G692,1,0)</f>
        <v>1</v>
      </c>
      <c r="I692" s="0" t="n">
        <f aca="false">calc_cohort!$B$2*constant!$B$1*F692*H692</f>
        <v>0.211990076487098</v>
      </c>
      <c r="J692" s="0" t="n">
        <f aca="false">INDEX(table_spot_rate!B$1:B$2000,MATCH(A692,table_spot_rate!A$1:A$2000,0))</f>
        <v>0.0535683256740364</v>
      </c>
      <c r="K692" s="0" t="n">
        <f aca="false">(1+J692)^(-A692*constant!$B$1)</f>
        <v>0.0497616106608485</v>
      </c>
      <c r="L692" s="0" t="n">
        <f aca="false">K692*I692</f>
        <v>0.0105489676501145</v>
      </c>
    </row>
    <row r="693" customFormat="false" ht="12.8" hidden="false" customHeight="false" outlineLevel="0" collapsed="false">
      <c r="A693" s="0" t="n">
        <v>691</v>
      </c>
      <c r="B693" s="0" t="n">
        <f aca="false">calc_cohort!D$2+constant!$B$1*A693</f>
        <v>88.7833333333333</v>
      </c>
      <c r="C693" s="0" t="n">
        <f aca="false">_xlfn.FLOOR.MATH(B693)</f>
        <v>88</v>
      </c>
      <c r="D693" s="4" t="n">
        <f aca="false">INDEX(table_mortality_rate!$A$1:$C$2000,MATCH(C693,table_mortality_rate!$A$1:$A$2000,0),MATCH(calc_cohort!$E$2,table_mortality_rate!A$1:C$1,0))</f>
        <v>0.143929</v>
      </c>
      <c r="E693" s="0" t="n">
        <f aca="false">(1-D693)^constant!$B$1</f>
        <v>0.987133329035414</v>
      </c>
      <c r="F693" s="0" t="n">
        <f aca="false">IF(A693=0,1,F692*E693)</f>
        <v>0.203496729262737</v>
      </c>
      <c r="G693" s="5" t="b">
        <f aca="false">B693&gt;=calc_cohort!C$2</f>
        <v>1</v>
      </c>
      <c r="H693" s="0" t="n">
        <f aca="false">IF(G693,1,0)</f>
        <v>1</v>
      </c>
      <c r="I693" s="0" t="n">
        <f aca="false">calc_cohort!$B$2*constant!$B$1*F693*H693</f>
        <v>0.209262469925181</v>
      </c>
      <c r="J693" s="0" t="n">
        <f aca="false">INDEX(table_spot_rate!B$1:B$2000,MATCH(A693,table_spot_rate!A$1:A$2000,0))</f>
        <v>0.0524658485953524</v>
      </c>
      <c r="K693" s="0" t="n">
        <f aca="false">(1+J693)^(-A693*constant!$B$1)</f>
        <v>0.0526245775847035</v>
      </c>
      <c r="L693" s="0" t="n">
        <f aca="false">K693*I693</f>
        <v>0.0110123490841444</v>
      </c>
    </row>
    <row r="694" customFormat="false" ht="12.8" hidden="false" customHeight="false" outlineLevel="0" collapsed="false">
      <c r="A694" s="0" t="n">
        <v>692</v>
      </c>
      <c r="B694" s="0" t="n">
        <f aca="false">calc_cohort!D$2+constant!$B$1*A694</f>
        <v>88.8666666666667</v>
      </c>
      <c r="C694" s="0" t="n">
        <f aca="false">_xlfn.FLOOR.MATH(B694)</f>
        <v>88</v>
      </c>
      <c r="D694" s="4" t="n">
        <f aca="false">INDEX(table_mortality_rate!$A$1:$C$2000,MATCH(C694,table_mortality_rate!$A$1:$A$2000,0),MATCH(calc_cohort!$E$2,table_mortality_rate!A$1:C$1,0))</f>
        <v>0.143929</v>
      </c>
      <c r="E694" s="0" t="n">
        <f aca="false">(1-D694)^constant!$B$1</f>
        <v>0.987133329035414</v>
      </c>
      <c r="F694" s="0" t="n">
        <f aca="false">IF(A694=0,1,F693*E694)</f>
        <v>0.200878403804944</v>
      </c>
      <c r="G694" s="5" t="b">
        <f aca="false">B694&gt;=calc_cohort!C$2</f>
        <v>1</v>
      </c>
      <c r="H694" s="0" t="n">
        <f aca="false">IF(G694,1,0)</f>
        <v>1</v>
      </c>
      <c r="I694" s="0" t="n">
        <f aca="false">calc_cohort!$B$2*constant!$B$1*F694*H694</f>
        <v>0.206569958579417</v>
      </c>
      <c r="J694" s="0" t="n">
        <f aca="false">INDEX(table_spot_rate!B$1:B$2000,MATCH(A694,table_spot_rate!A$1:A$2000,0))</f>
        <v>0.0537003262806542</v>
      </c>
      <c r="K694" s="0" t="n">
        <f aca="false">(1+J694)^(-A694*constant!$B$1)</f>
        <v>0.0489755958787299</v>
      </c>
      <c r="L694" s="0" t="n">
        <f aca="false">K694*I694</f>
        <v>0.0101168868120715</v>
      </c>
    </row>
    <row r="695" customFormat="false" ht="12.8" hidden="false" customHeight="false" outlineLevel="0" collapsed="false">
      <c r="A695" s="0" t="n">
        <v>693</v>
      </c>
      <c r="B695" s="0" t="n">
        <f aca="false">calc_cohort!D$2+constant!$B$1*A695</f>
        <v>88.95</v>
      </c>
      <c r="C695" s="0" t="n">
        <f aca="false">_xlfn.FLOOR.MATH(B695)</f>
        <v>88</v>
      </c>
      <c r="D695" s="4" t="n">
        <f aca="false">INDEX(table_mortality_rate!$A$1:$C$2000,MATCH(C695,table_mortality_rate!$A$1:$A$2000,0),MATCH(calc_cohort!$E$2,table_mortality_rate!A$1:C$1,0))</f>
        <v>0.143929</v>
      </c>
      <c r="E695" s="0" t="n">
        <f aca="false">(1-D695)^constant!$B$1</f>
        <v>0.987133329035414</v>
      </c>
      <c r="F695" s="0" t="n">
        <f aca="false">IF(A695=0,1,F694*E695)</f>
        <v>0.198293767479295</v>
      </c>
      <c r="G695" s="5" t="b">
        <f aca="false">B695&gt;=calc_cohort!C$2</f>
        <v>1</v>
      </c>
      <c r="H695" s="0" t="n">
        <f aca="false">IF(G695,1,0)</f>
        <v>1</v>
      </c>
      <c r="I695" s="0" t="n">
        <f aca="false">calc_cohort!$B$2*constant!$B$1*F695*H695</f>
        <v>0.203912090891208</v>
      </c>
      <c r="J695" s="0" t="n">
        <f aca="false">INDEX(table_spot_rate!B$1:B$2000,MATCH(A695,table_spot_rate!A$1:A$2000,0))</f>
        <v>0.0597443641274079</v>
      </c>
      <c r="K695" s="0" t="n">
        <f aca="false">(1+J695)^(-A695*constant!$B$1)</f>
        <v>0.0350457673634317</v>
      </c>
      <c r="L695" s="0" t="n">
        <f aca="false">K695*I695</f>
        <v>0.00714625569996421</v>
      </c>
    </row>
    <row r="696" customFormat="false" ht="12.8" hidden="false" customHeight="false" outlineLevel="0" collapsed="false">
      <c r="A696" s="0" t="n">
        <v>694</v>
      </c>
      <c r="B696" s="0" t="n">
        <f aca="false">calc_cohort!D$2+constant!$B$1*A696</f>
        <v>89.0333333333333</v>
      </c>
      <c r="C696" s="0" t="n">
        <f aca="false">_xlfn.FLOOR.MATH(B696)</f>
        <v>89</v>
      </c>
      <c r="D696" s="4" t="n">
        <f aca="false">INDEX(table_mortality_rate!$A$1:$C$2000,MATCH(C696,table_mortality_rate!$A$1:$A$2000,0),MATCH(calc_cohort!$E$2,table_mortality_rate!A$1:C$1,0))</f>
        <v>0.15666</v>
      </c>
      <c r="E696" s="0" t="n">
        <f aca="false">(1-D696)^constant!$B$1</f>
        <v>0.985901570210669</v>
      </c>
      <c r="F696" s="0" t="n">
        <f aca="false">IF(A696=0,1,F695*E696)</f>
        <v>0.195498136720826</v>
      </c>
      <c r="G696" s="5" t="b">
        <f aca="false">B696&gt;=calc_cohort!C$2</f>
        <v>1</v>
      </c>
      <c r="H696" s="0" t="n">
        <f aca="false">IF(G696,1,0)</f>
        <v>1</v>
      </c>
      <c r="I696" s="0" t="n">
        <f aca="false">calc_cohort!$B$2*constant!$B$1*F696*H696</f>
        <v>0.201037250594582</v>
      </c>
      <c r="J696" s="0" t="n">
        <f aca="false">INDEX(table_spot_rate!B$1:B$2000,MATCH(A696,table_spot_rate!A$1:A$2000,0))</f>
        <v>0.0520522541221361</v>
      </c>
      <c r="K696" s="0" t="n">
        <f aca="false">(1+J696)^(-A696*constant!$B$1)</f>
        <v>0.0531506811466008</v>
      </c>
      <c r="L696" s="0" t="n">
        <f aca="false">K696*I696</f>
        <v>0.0106852668049419</v>
      </c>
    </row>
    <row r="697" customFormat="false" ht="12.8" hidden="false" customHeight="false" outlineLevel="0" collapsed="false">
      <c r="A697" s="0" t="n">
        <v>695</v>
      </c>
      <c r="B697" s="0" t="n">
        <f aca="false">calc_cohort!D$2+constant!$B$1*A697</f>
        <v>89.1166666666667</v>
      </c>
      <c r="C697" s="0" t="n">
        <f aca="false">_xlfn.FLOOR.MATH(B697)</f>
        <v>89</v>
      </c>
      <c r="D697" s="4" t="n">
        <f aca="false">INDEX(table_mortality_rate!$A$1:$C$2000,MATCH(C697,table_mortality_rate!$A$1:$A$2000,0),MATCH(calc_cohort!$E$2,table_mortality_rate!A$1:C$1,0))</f>
        <v>0.15666</v>
      </c>
      <c r="E697" s="0" t="n">
        <f aca="false">(1-D697)^constant!$B$1</f>
        <v>0.985901570210669</v>
      </c>
      <c r="F697" s="0" t="n">
        <f aca="false">IF(A697=0,1,F696*E697)</f>
        <v>0.192741919966322</v>
      </c>
      <c r="G697" s="5" t="b">
        <f aca="false">B697&gt;=calc_cohort!C$2</f>
        <v>1</v>
      </c>
      <c r="H697" s="0" t="n">
        <f aca="false">IF(G697,1,0)</f>
        <v>1</v>
      </c>
      <c r="I697" s="0" t="n">
        <f aca="false">calc_cohort!$B$2*constant!$B$1*F697*H697</f>
        <v>0.198202941032035</v>
      </c>
      <c r="J697" s="0" t="n">
        <f aca="false">INDEX(table_spot_rate!B$1:B$2000,MATCH(A697,table_spot_rate!A$1:A$2000,0))</f>
        <v>0.057778006304816</v>
      </c>
      <c r="K697" s="0" t="n">
        <f aca="false">(1+J697)^(-A697*constant!$B$1)</f>
        <v>0.0386500426016375</v>
      </c>
      <c r="L697" s="0" t="n">
        <f aca="false">K697*I697</f>
        <v>0.00766055211465799</v>
      </c>
    </row>
    <row r="698" customFormat="false" ht="12.8" hidden="false" customHeight="false" outlineLevel="0" collapsed="false">
      <c r="A698" s="0" t="n">
        <v>696</v>
      </c>
      <c r="B698" s="0" t="n">
        <f aca="false">calc_cohort!D$2+constant!$B$1*A698</f>
        <v>89.2</v>
      </c>
      <c r="C698" s="0" t="n">
        <f aca="false">_xlfn.FLOOR.MATH(B698)</f>
        <v>89</v>
      </c>
      <c r="D698" s="4" t="n">
        <f aca="false">INDEX(table_mortality_rate!$A$1:$C$2000,MATCH(C698,table_mortality_rate!$A$1:$A$2000,0),MATCH(calc_cohort!$E$2,table_mortality_rate!A$1:C$1,0))</f>
        <v>0.15666</v>
      </c>
      <c r="E698" s="0" t="n">
        <f aca="false">(1-D698)^constant!$B$1</f>
        <v>0.985901570210669</v>
      </c>
      <c r="F698" s="0" t="n">
        <f aca="false">IF(A698=0,1,F697*E698)</f>
        <v>0.190024561540216</v>
      </c>
      <c r="G698" s="5" t="b">
        <f aca="false">B698&gt;=calc_cohort!C$2</f>
        <v>1</v>
      </c>
      <c r="H698" s="0" t="n">
        <f aca="false">IF(G698,1,0)</f>
        <v>1</v>
      </c>
      <c r="I698" s="0" t="n">
        <f aca="false">calc_cohort!$B$2*constant!$B$1*F698*H698</f>
        <v>0.195408590783856</v>
      </c>
      <c r="J698" s="0" t="n">
        <f aca="false">INDEX(table_spot_rate!B$1:B$2000,MATCH(A698,table_spot_rate!A$1:A$2000,0))</f>
        <v>0.0577073562906824</v>
      </c>
      <c r="K698" s="0" t="n">
        <f aca="false">(1+J698)^(-A698*constant!$B$1)</f>
        <v>0.0386188696739821</v>
      </c>
      <c r="L698" s="0" t="n">
        <f aca="false">K698*I698</f>
        <v>0.00754645890065822</v>
      </c>
    </row>
    <row r="699" customFormat="false" ht="12.8" hidden="false" customHeight="false" outlineLevel="0" collapsed="false">
      <c r="A699" s="0" t="n">
        <v>697</v>
      </c>
      <c r="B699" s="0" t="n">
        <f aca="false">calc_cohort!D$2+constant!$B$1*A699</f>
        <v>89.2833333333333</v>
      </c>
      <c r="C699" s="0" t="n">
        <f aca="false">_xlfn.FLOOR.MATH(B699)</f>
        <v>89</v>
      </c>
      <c r="D699" s="4" t="n">
        <f aca="false">INDEX(table_mortality_rate!$A$1:$C$2000,MATCH(C699,table_mortality_rate!$A$1:$A$2000,0),MATCH(calc_cohort!$E$2,table_mortality_rate!A$1:C$1,0))</f>
        <v>0.15666</v>
      </c>
      <c r="E699" s="0" t="n">
        <f aca="false">(1-D699)^constant!$B$1</f>
        <v>0.985901570210669</v>
      </c>
      <c r="F699" s="0" t="n">
        <f aca="false">IF(A699=0,1,F698*E699)</f>
        <v>0.187345513601093</v>
      </c>
      <c r="G699" s="5" t="b">
        <f aca="false">B699&gt;=calc_cohort!C$2</f>
        <v>1</v>
      </c>
      <c r="H699" s="0" t="n">
        <f aca="false">IF(G699,1,0)</f>
        <v>1</v>
      </c>
      <c r="I699" s="0" t="n">
        <f aca="false">calc_cohort!$B$2*constant!$B$1*F699*H699</f>
        <v>0.192653636486457</v>
      </c>
      <c r="J699" s="0" t="n">
        <f aca="false">INDEX(table_spot_rate!B$1:B$2000,MATCH(A699,table_spot_rate!A$1:A$2000,0))</f>
        <v>0.0549879263617347</v>
      </c>
      <c r="K699" s="0" t="n">
        <f aca="false">(1+J699)^(-A699*constant!$B$1)</f>
        <v>0.0446383693302697</v>
      </c>
      <c r="L699" s="0" t="n">
        <f aca="false">K699*I699</f>
        <v>0.008599744178302</v>
      </c>
    </row>
    <row r="700" customFormat="false" ht="12.8" hidden="false" customHeight="false" outlineLevel="0" collapsed="false">
      <c r="A700" s="0" t="n">
        <v>698</v>
      </c>
      <c r="B700" s="0" t="n">
        <f aca="false">calc_cohort!D$2+constant!$B$1*A700</f>
        <v>89.3666666666667</v>
      </c>
      <c r="C700" s="0" t="n">
        <f aca="false">_xlfn.FLOOR.MATH(B700)</f>
        <v>89</v>
      </c>
      <c r="D700" s="4" t="n">
        <f aca="false">INDEX(table_mortality_rate!$A$1:$C$2000,MATCH(C700,table_mortality_rate!$A$1:$A$2000,0),MATCH(calc_cohort!$E$2,table_mortality_rate!A$1:C$1,0))</f>
        <v>0.15666</v>
      </c>
      <c r="E700" s="0" t="n">
        <f aca="false">(1-D700)^constant!$B$1</f>
        <v>0.985901570210669</v>
      </c>
      <c r="F700" s="0" t="n">
        <f aca="false">IF(A700=0,1,F699*E700)</f>
        <v>0.184704236031242</v>
      </c>
      <c r="G700" s="5" t="b">
        <f aca="false">B700&gt;=calc_cohort!C$2</f>
        <v>1</v>
      </c>
      <c r="H700" s="0" t="n">
        <f aca="false">IF(G700,1,0)</f>
        <v>1</v>
      </c>
      <c r="I700" s="0" t="n">
        <f aca="false">calc_cohort!$B$2*constant!$B$1*F700*H700</f>
        <v>0.189937522718794</v>
      </c>
      <c r="J700" s="0" t="n">
        <f aca="false">INDEX(table_spot_rate!B$1:B$2000,MATCH(A700,table_spot_rate!A$1:A$2000,0))</f>
        <v>0.053756925120968</v>
      </c>
      <c r="K700" s="0" t="n">
        <f aca="false">(1+J700)^(-A700*constant!$B$1)</f>
        <v>0.0475624595262021</v>
      </c>
      <c r="L700" s="0" t="n">
        <f aca="false">K700*I700</f>
        <v>0.00903389573681971</v>
      </c>
    </row>
    <row r="701" customFormat="false" ht="12.8" hidden="false" customHeight="false" outlineLevel="0" collapsed="false">
      <c r="A701" s="0" t="n">
        <v>699</v>
      </c>
      <c r="B701" s="0" t="n">
        <f aca="false">calc_cohort!D$2+constant!$B$1*A701</f>
        <v>89.45</v>
      </c>
      <c r="C701" s="0" t="n">
        <f aca="false">_xlfn.FLOOR.MATH(B701)</f>
        <v>89</v>
      </c>
      <c r="D701" s="4" t="n">
        <f aca="false">INDEX(table_mortality_rate!$A$1:$C$2000,MATCH(C701,table_mortality_rate!$A$1:$A$2000,0),MATCH(calc_cohort!$E$2,table_mortality_rate!A$1:C$1,0))</f>
        <v>0.15666</v>
      </c>
      <c r="E701" s="0" t="n">
        <f aca="false">(1-D701)^constant!$B$1</f>
        <v>0.985901570210669</v>
      </c>
      <c r="F701" s="0" t="n">
        <f aca="false">IF(A701=0,1,F700*E701)</f>
        <v>0.182100196327763</v>
      </c>
      <c r="G701" s="5" t="b">
        <f aca="false">B701&gt;=calc_cohort!C$2</f>
        <v>1</v>
      </c>
      <c r="H701" s="0" t="n">
        <f aca="false">IF(G701,1,0)</f>
        <v>1</v>
      </c>
      <c r="I701" s="0" t="n">
        <f aca="false">calc_cohort!$B$2*constant!$B$1*F701*H701</f>
        <v>0.187259701890383</v>
      </c>
      <c r="J701" s="0" t="n">
        <f aca="false">INDEX(table_spot_rate!B$1:B$2000,MATCH(A701,table_spot_rate!A$1:A$2000,0))</f>
        <v>0.0576647655639469</v>
      </c>
      <c r="K701" s="0" t="n">
        <f aca="false">(1+J701)^(-A701*constant!$B$1)</f>
        <v>0.0381704129892156</v>
      </c>
      <c r="L701" s="0" t="n">
        <f aca="false">K701*I701</f>
        <v>0.00714778015739333</v>
      </c>
    </row>
    <row r="702" customFormat="false" ht="12.8" hidden="false" customHeight="false" outlineLevel="0" collapsed="false">
      <c r="A702" s="0" t="n">
        <v>700</v>
      </c>
      <c r="B702" s="0" t="n">
        <f aca="false">calc_cohort!D$2+constant!$B$1*A702</f>
        <v>89.5333333333333</v>
      </c>
      <c r="C702" s="0" t="n">
        <f aca="false">_xlfn.FLOOR.MATH(B702)</f>
        <v>89</v>
      </c>
      <c r="D702" s="4" t="n">
        <f aca="false">INDEX(table_mortality_rate!$A$1:$C$2000,MATCH(C702,table_mortality_rate!$A$1:$A$2000,0),MATCH(calc_cohort!$E$2,table_mortality_rate!A$1:C$1,0))</f>
        <v>0.15666</v>
      </c>
      <c r="E702" s="0" t="n">
        <f aca="false">(1-D702)^constant!$B$1</f>
        <v>0.985901570210669</v>
      </c>
      <c r="F702" s="0" t="n">
        <f aca="false">IF(A702=0,1,F701*E702)</f>
        <v>0.179532869495213</v>
      </c>
      <c r="G702" s="5" t="b">
        <f aca="false">B702&gt;=calc_cohort!C$2</f>
        <v>1</v>
      </c>
      <c r="H702" s="0" t="n">
        <f aca="false">IF(G702,1,0)</f>
        <v>1</v>
      </c>
      <c r="I702" s="0" t="n">
        <f aca="false">calc_cohort!$B$2*constant!$B$1*F702*H702</f>
        <v>0.184619634130911</v>
      </c>
      <c r="J702" s="0" t="n">
        <f aca="false">INDEX(table_spot_rate!B$1:B$2000,MATCH(A702,table_spot_rate!A$1:A$2000,0))</f>
        <v>0.0535960788694422</v>
      </c>
      <c r="K702" s="0" t="n">
        <f aca="false">(1+J702)^(-A702*constant!$B$1)</f>
        <v>0.0475709148176649</v>
      </c>
      <c r="L702" s="0" t="n">
        <f aca="false">K702*I702</f>
        <v>0.00878252488891001</v>
      </c>
    </row>
    <row r="703" customFormat="false" ht="12.8" hidden="false" customHeight="false" outlineLevel="0" collapsed="false">
      <c r="A703" s="0" t="n">
        <v>701</v>
      </c>
      <c r="B703" s="0" t="n">
        <f aca="false">calc_cohort!D$2+constant!$B$1*A703</f>
        <v>89.6166666666667</v>
      </c>
      <c r="C703" s="0" t="n">
        <f aca="false">_xlfn.FLOOR.MATH(B703)</f>
        <v>89</v>
      </c>
      <c r="D703" s="4" t="n">
        <f aca="false">INDEX(table_mortality_rate!$A$1:$C$2000,MATCH(C703,table_mortality_rate!$A$1:$A$2000,0),MATCH(calc_cohort!$E$2,table_mortality_rate!A$1:C$1,0))</f>
        <v>0.15666</v>
      </c>
      <c r="E703" s="0" t="n">
        <f aca="false">(1-D703)^constant!$B$1</f>
        <v>0.985901570210669</v>
      </c>
      <c r="F703" s="0" t="n">
        <f aca="false">IF(A703=0,1,F702*E703)</f>
        <v>0.177001737939758</v>
      </c>
      <c r="G703" s="5" t="b">
        <f aca="false">B703&gt;=calc_cohort!C$2</f>
        <v>1</v>
      </c>
      <c r="H703" s="0" t="n">
        <f aca="false">IF(G703,1,0)</f>
        <v>1</v>
      </c>
      <c r="I703" s="0" t="n">
        <f aca="false">calc_cohort!$B$2*constant!$B$1*F703*H703</f>
        <v>0.182016787181384</v>
      </c>
      <c r="J703" s="0" t="n">
        <f aca="false">INDEX(table_spot_rate!B$1:B$2000,MATCH(A703,table_spot_rate!A$1:A$2000,0))</f>
        <v>0.055278019390542</v>
      </c>
      <c r="K703" s="0" t="n">
        <f aca="false">(1+J703)^(-A703*constant!$B$1)</f>
        <v>0.043150322510654</v>
      </c>
      <c r="L703" s="0" t="n">
        <f aca="false">K703*I703</f>
        <v>0.00785408306922979</v>
      </c>
    </row>
    <row r="704" customFormat="false" ht="12.8" hidden="false" customHeight="false" outlineLevel="0" collapsed="false">
      <c r="A704" s="0" t="n">
        <v>702</v>
      </c>
      <c r="B704" s="0" t="n">
        <f aca="false">calc_cohort!D$2+constant!$B$1*A704</f>
        <v>89.7</v>
      </c>
      <c r="C704" s="0" t="n">
        <f aca="false">_xlfn.FLOOR.MATH(B704)</f>
        <v>89</v>
      </c>
      <c r="D704" s="4" t="n">
        <f aca="false">INDEX(table_mortality_rate!$A$1:$C$2000,MATCH(C704,table_mortality_rate!$A$1:$A$2000,0),MATCH(calc_cohort!$E$2,table_mortality_rate!A$1:C$1,0))</f>
        <v>0.15666</v>
      </c>
      <c r="E704" s="0" t="n">
        <f aca="false">(1-D704)^constant!$B$1</f>
        <v>0.985901570210669</v>
      </c>
      <c r="F704" s="0" t="n">
        <f aca="false">IF(A704=0,1,F703*E704)</f>
        <v>0.174506291364824</v>
      </c>
      <c r="G704" s="5" t="b">
        <f aca="false">B704&gt;=calc_cohort!C$2</f>
        <v>1</v>
      </c>
      <c r="H704" s="0" t="n">
        <f aca="false">IF(G704,1,0)</f>
        <v>1</v>
      </c>
      <c r="I704" s="0" t="n">
        <f aca="false">calc_cohort!$B$2*constant!$B$1*F704*H704</f>
        <v>0.179450636286828</v>
      </c>
      <c r="J704" s="0" t="n">
        <f aca="false">INDEX(table_spot_rate!B$1:B$2000,MATCH(A704,table_spot_rate!A$1:A$2000,0))</f>
        <v>0.0518408688016906</v>
      </c>
      <c r="K704" s="0" t="n">
        <f aca="false">(1+J704)^(-A704*constant!$B$1)</f>
        <v>0.0519903324372579</v>
      </c>
      <c r="L704" s="0" t="n">
        <f aca="false">K704*I704</f>
        <v>0.00932969823662962</v>
      </c>
    </row>
    <row r="705" customFormat="false" ht="12.8" hidden="false" customHeight="false" outlineLevel="0" collapsed="false">
      <c r="A705" s="0" t="n">
        <v>703</v>
      </c>
      <c r="B705" s="0" t="n">
        <f aca="false">calc_cohort!D$2+constant!$B$1*A705</f>
        <v>89.7833333333333</v>
      </c>
      <c r="C705" s="0" t="n">
        <f aca="false">_xlfn.FLOOR.MATH(B705)</f>
        <v>89</v>
      </c>
      <c r="D705" s="4" t="n">
        <f aca="false">INDEX(table_mortality_rate!$A$1:$C$2000,MATCH(C705,table_mortality_rate!$A$1:$A$2000,0),MATCH(calc_cohort!$E$2,table_mortality_rate!A$1:C$1,0))</f>
        <v>0.15666</v>
      </c>
      <c r="E705" s="0" t="n">
        <f aca="false">(1-D705)^constant!$B$1</f>
        <v>0.985901570210669</v>
      </c>
      <c r="F705" s="0" t="n">
        <f aca="false">IF(A705=0,1,F704*E705)</f>
        <v>0.172046026668221</v>
      </c>
      <c r="G705" s="5" t="b">
        <f aca="false">B705&gt;=calc_cohort!C$2</f>
        <v>1</v>
      </c>
      <c r="H705" s="0" t="n">
        <f aca="false">IF(G705,1,0)</f>
        <v>1</v>
      </c>
      <c r="I705" s="0" t="n">
        <f aca="false">calc_cohort!$B$2*constant!$B$1*F705*H705</f>
        <v>0.176920664090487</v>
      </c>
      <c r="J705" s="0" t="n">
        <f aca="false">INDEX(table_spot_rate!B$1:B$2000,MATCH(A705,table_spot_rate!A$1:A$2000,0))</f>
        <v>0.058519808139341</v>
      </c>
      <c r="K705" s="0" t="n">
        <f aca="false">(1+J705)^(-A705*constant!$B$1)</f>
        <v>0.035731468928942</v>
      </c>
      <c r="L705" s="0" t="n">
        <f aca="false">K705*I705</f>
        <v>0.00632163521183701</v>
      </c>
    </row>
    <row r="706" customFormat="false" ht="12.8" hidden="false" customHeight="false" outlineLevel="0" collapsed="false">
      <c r="A706" s="0" t="n">
        <v>704</v>
      </c>
      <c r="B706" s="0" t="n">
        <f aca="false">calc_cohort!D$2+constant!$B$1*A706</f>
        <v>89.8666666666667</v>
      </c>
      <c r="C706" s="0" t="n">
        <f aca="false">_xlfn.FLOOR.MATH(B706)</f>
        <v>89</v>
      </c>
      <c r="D706" s="4" t="n">
        <f aca="false">INDEX(table_mortality_rate!$A$1:$C$2000,MATCH(C706,table_mortality_rate!$A$1:$A$2000,0),MATCH(calc_cohort!$E$2,table_mortality_rate!A$1:C$1,0))</f>
        <v>0.15666</v>
      </c>
      <c r="E706" s="0" t="n">
        <f aca="false">(1-D706)^constant!$B$1</f>
        <v>0.985901570210669</v>
      </c>
      <c r="F706" s="0" t="n">
        <f aca="false">IF(A706=0,1,F705*E706)</f>
        <v>0.169620447840705</v>
      </c>
      <c r="G706" s="5" t="b">
        <f aca="false">B706&gt;=calc_cohort!C$2</f>
        <v>1</v>
      </c>
      <c r="H706" s="0" t="n">
        <f aca="false">IF(G706,1,0)</f>
        <v>1</v>
      </c>
      <c r="I706" s="0" t="n">
        <f aca="false">calc_cohort!$B$2*constant!$B$1*F706*H706</f>
        <v>0.174426360529525</v>
      </c>
      <c r="J706" s="0" t="n">
        <f aca="false">INDEX(table_spot_rate!B$1:B$2000,MATCH(A706,table_spot_rate!A$1:A$2000,0))</f>
        <v>0.051476422258024</v>
      </c>
      <c r="K706" s="0" t="n">
        <f aca="false">(1+J706)^(-A706*constant!$B$1)</f>
        <v>0.0526130800650617</v>
      </c>
      <c r="L706" s="0" t="n">
        <f aca="false">K706*I706</f>
        <v>0.00917710807199724</v>
      </c>
    </row>
    <row r="707" customFormat="false" ht="12.8" hidden="false" customHeight="false" outlineLevel="0" collapsed="false">
      <c r="A707" s="0" t="n">
        <v>705</v>
      </c>
      <c r="B707" s="0" t="n">
        <f aca="false">calc_cohort!D$2+constant!$B$1*A707</f>
        <v>89.95</v>
      </c>
      <c r="C707" s="0" t="n">
        <f aca="false">_xlfn.FLOOR.MATH(B707)</f>
        <v>89</v>
      </c>
      <c r="D707" s="4" t="n">
        <f aca="false">INDEX(table_mortality_rate!$A$1:$C$2000,MATCH(C707,table_mortality_rate!$A$1:$A$2000,0),MATCH(calc_cohort!$E$2,table_mortality_rate!A$1:C$1,0))</f>
        <v>0.15666</v>
      </c>
      <c r="E707" s="0" t="n">
        <f aca="false">(1-D707)^constant!$B$1</f>
        <v>0.985901570210669</v>
      </c>
      <c r="F707" s="0" t="n">
        <f aca="false">IF(A707=0,1,F706*E707)</f>
        <v>0.167229065865988</v>
      </c>
      <c r="G707" s="5" t="b">
        <f aca="false">B707&gt;=calc_cohort!C$2</f>
        <v>1</v>
      </c>
      <c r="H707" s="0" t="n">
        <f aca="false">IF(G707,1,0)</f>
        <v>1</v>
      </c>
      <c r="I707" s="0" t="n">
        <f aca="false">calc_cohort!$B$2*constant!$B$1*F707*H707</f>
        <v>0.171967222732191</v>
      </c>
      <c r="J707" s="0" t="n">
        <f aca="false">INDEX(table_spot_rate!B$1:B$2000,MATCH(A707,table_spot_rate!A$1:A$2000,0))</f>
        <v>0.0563101815182043</v>
      </c>
      <c r="K707" s="0" t="n">
        <f aca="false">(1+J707)^(-A707*constant!$B$1)</f>
        <v>0.0400176314485881</v>
      </c>
      <c r="L707" s="0" t="n">
        <f aca="false">K707*I707</f>
        <v>0.00688172094053409</v>
      </c>
    </row>
    <row r="708" customFormat="false" ht="12.8" hidden="false" customHeight="false" outlineLevel="0" collapsed="false">
      <c r="A708" s="0" t="n">
        <v>706</v>
      </c>
      <c r="B708" s="0" t="n">
        <f aca="false">calc_cohort!D$2+constant!$B$1*A708</f>
        <v>90.0333333333333</v>
      </c>
      <c r="C708" s="0" t="n">
        <f aca="false">_xlfn.FLOOR.MATH(B708)</f>
        <v>90</v>
      </c>
      <c r="D708" s="4" t="n">
        <f aca="false">INDEX(table_mortality_rate!$A$1:$C$2000,MATCH(C708,table_mortality_rate!$A$1:$A$2000,0),MATCH(calc_cohort!$E$2,table_mortality_rate!A$1:C$1,0))</f>
        <v>0.170247</v>
      </c>
      <c r="E708" s="0" t="n">
        <f aca="false">(1-D708)^constant!$B$1</f>
        <v>0.98456804426342</v>
      </c>
      <c r="F708" s="0" t="n">
        <f aca="false">IF(A708=0,1,F707*E708)</f>
        <v>0.164648394323675</v>
      </c>
      <c r="G708" s="5" t="b">
        <f aca="false">B708&gt;=calc_cohort!C$2</f>
        <v>1</v>
      </c>
      <c r="H708" s="0" t="n">
        <f aca="false">IF(G708,1,0)</f>
        <v>1</v>
      </c>
      <c r="I708" s="0" t="n">
        <f aca="false">calc_cohort!$B$2*constant!$B$1*F708*H708</f>
        <v>0.169313432162846</v>
      </c>
      <c r="J708" s="0" t="n">
        <f aca="false">INDEX(table_spot_rate!B$1:B$2000,MATCH(A708,table_spot_rate!A$1:A$2000,0))</f>
        <v>0.0551193431444842</v>
      </c>
      <c r="K708" s="0" t="n">
        <f aca="false">(1+J708)^(-A708*constant!$B$1)</f>
        <v>0.0425686707787732</v>
      </c>
      <c r="L708" s="0" t="n">
        <f aca="false">K708*I708</f>
        <v>0.00720744775216432</v>
      </c>
    </row>
    <row r="709" customFormat="false" ht="12.8" hidden="false" customHeight="false" outlineLevel="0" collapsed="false">
      <c r="A709" s="0" t="n">
        <v>707</v>
      </c>
      <c r="B709" s="0" t="n">
        <f aca="false">calc_cohort!D$2+constant!$B$1*A709</f>
        <v>90.1166666666667</v>
      </c>
      <c r="C709" s="0" t="n">
        <f aca="false">_xlfn.FLOOR.MATH(B709)</f>
        <v>90</v>
      </c>
      <c r="D709" s="4" t="n">
        <f aca="false">INDEX(table_mortality_rate!$A$1:$C$2000,MATCH(C709,table_mortality_rate!$A$1:$A$2000,0),MATCH(calc_cohort!$E$2,table_mortality_rate!A$1:C$1,0))</f>
        <v>0.170247</v>
      </c>
      <c r="E709" s="0" t="n">
        <f aca="false">(1-D709)^constant!$B$1</f>
        <v>0.98456804426342</v>
      </c>
      <c r="F709" s="0" t="n">
        <f aca="false">IF(A709=0,1,F708*E709)</f>
        <v>0.162107547590373</v>
      </c>
      <c r="G709" s="5" t="b">
        <f aca="false">B709&gt;=calc_cohort!C$2</f>
        <v>1</v>
      </c>
      <c r="H709" s="0" t="n">
        <f aca="false">IF(G709,1,0)</f>
        <v>1</v>
      </c>
      <c r="I709" s="0" t="n">
        <f aca="false">calc_cohort!$B$2*constant!$B$1*F709*H709</f>
        <v>0.1667005947721</v>
      </c>
      <c r="J709" s="0" t="n">
        <f aca="false">INDEX(table_spot_rate!B$1:B$2000,MATCH(A709,table_spot_rate!A$1:A$2000,0))</f>
        <v>0.0519586325450719</v>
      </c>
      <c r="K709" s="0" t="n">
        <f aca="false">(1+J709)^(-A709*constant!$B$1)</f>
        <v>0.050572237873218</v>
      </c>
      <c r="L709" s="0" t="n">
        <f aca="false">K709*I709</f>
        <v>0.00843042213242157</v>
      </c>
    </row>
    <row r="710" customFormat="false" ht="12.8" hidden="false" customHeight="false" outlineLevel="0" collapsed="false">
      <c r="A710" s="0" t="n">
        <v>708</v>
      </c>
      <c r="B710" s="0" t="n">
        <f aca="false">calc_cohort!D$2+constant!$B$1*A710</f>
        <v>90.2</v>
      </c>
      <c r="C710" s="0" t="n">
        <f aca="false">_xlfn.FLOOR.MATH(B710)</f>
        <v>90</v>
      </c>
      <c r="D710" s="4" t="n">
        <f aca="false">INDEX(table_mortality_rate!$A$1:$C$2000,MATCH(C710,table_mortality_rate!$A$1:$A$2000,0),MATCH(calc_cohort!$E$2,table_mortality_rate!A$1:C$1,0))</f>
        <v>0.170247</v>
      </c>
      <c r="E710" s="0" t="n">
        <f aca="false">(1-D710)^constant!$B$1</f>
        <v>0.98456804426342</v>
      </c>
      <c r="F710" s="0" t="n">
        <f aca="false">IF(A710=0,1,F709*E710)</f>
        <v>0.159605911091393</v>
      </c>
      <c r="G710" s="5" t="b">
        <f aca="false">B710&gt;=calc_cohort!C$2</f>
        <v>1</v>
      </c>
      <c r="H710" s="0" t="n">
        <f aca="false">IF(G710,1,0)</f>
        <v>1</v>
      </c>
      <c r="I710" s="0" t="n">
        <f aca="false">calc_cohort!$B$2*constant!$B$1*F710*H710</f>
        <v>0.164128078572316</v>
      </c>
      <c r="J710" s="0" t="n">
        <f aca="false">INDEX(table_spot_rate!B$1:B$2000,MATCH(A710,table_spot_rate!A$1:A$2000,0))</f>
        <v>0.0523671154246582</v>
      </c>
      <c r="K710" s="0" t="n">
        <f aca="false">(1+J710)^(-A710*constant!$B$1)</f>
        <v>0.0492188142062461</v>
      </c>
      <c r="L710" s="0" t="n">
        <f aca="false">K710*I710</f>
        <v>0.00807818940527896</v>
      </c>
    </row>
    <row r="711" customFormat="false" ht="12.8" hidden="false" customHeight="false" outlineLevel="0" collapsed="false">
      <c r="A711" s="0" t="n">
        <v>709</v>
      </c>
      <c r="B711" s="0" t="n">
        <f aca="false">calc_cohort!D$2+constant!$B$1*A711</f>
        <v>90.2833333333333</v>
      </c>
      <c r="C711" s="0" t="n">
        <f aca="false">_xlfn.FLOOR.MATH(B711)</f>
        <v>90</v>
      </c>
      <c r="D711" s="4" t="n">
        <f aca="false">INDEX(table_mortality_rate!$A$1:$C$2000,MATCH(C711,table_mortality_rate!$A$1:$A$2000,0),MATCH(calc_cohort!$E$2,table_mortality_rate!A$1:C$1,0))</f>
        <v>0.170247</v>
      </c>
      <c r="E711" s="0" t="n">
        <f aca="false">(1-D711)^constant!$B$1</f>
        <v>0.98456804426342</v>
      </c>
      <c r="F711" s="0" t="n">
        <f aca="false">IF(A711=0,1,F710*E711)</f>
        <v>0.157142879736134</v>
      </c>
      <c r="G711" s="5" t="b">
        <f aca="false">B711&gt;=calc_cohort!C$2</f>
        <v>1</v>
      </c>
      <c r="H711" s="0" t="n">
        <f aca="false">IF(G711,1,0)</f>
        <v>1</v>
      </c>
      <c r="I711" s="0" t="n">
        <f aca="false">calc_cohort!$B$2*constant!$B$1*F711*H711</f>
        <v>0.161595261328658</v>
      </c>
      <c r="J711" s="0" t="n">
        <f aca="false">INDEX(table_spot_rate!B$1:B$2000,MATCH(A711,table_spot_rate!A$1:A$2000,0))</f>
        <v>0.0532344081337277</v>
      </c>
      <c r="K711" s="0" t="n">
        <f aca="false">(1+J711)^(-A711*constant!$B$1)</f>
        <v>0.0466815893291568</v>
      </c>
      <c r="L711" s="0" t="n">
        <f aca="false">K711*I711</f>
        <v>0.00754352362688218</v>
      </c>
    </row>
    <row r="712" customFormat="false" ht="12.8" hidden="false" customHeight="false" outlineLevel="0" collapsed="false">
      <c r="A712" s="0" t="n">
        <v>710</v>
      </c>
      <c r="B712" s="0" t="n">
        <f aca="false">calc_cohort!D$2+constant!$B$1*A712</f>
        <v>90.3666666666667</v>
      </c>
      <c r="C712" s="0" t="n">
        <f aca="false">_xlfn.FLOOR.MATH(B712)</f>
        <v>90</v>
      </c>
      <c r="D712" s="4" t="n">
        <f aca="false">INDEX(table_mortality_rate!$A$1:$C$2000,MATCH(C712,table_mortality_rate!$A$1:$A$2000,0),MATCH(calc_cohort!$E$2,table_mortality_rate!A$1:C$1,0))</f>
        <v>0.170247</v>
      </c>
      <c r="E712" s="0" t="n">
        <f aca="false">(1-D712)^constant!$B$1</f>
        <v>0.98456804426342</v>
      </c>
      <c r="F712" s="0" t="n">
        <f aca="false">IF(A712=0,1,F711*E712)</f>
        <v>0.154717857771727</v>
      </c>
      <c r="G712" s="5" t="b">
        <f aca="false">B712&gt;=calc_cohort!C$2</f>
        <v>1</v>
      </c>
      <c r="H712" s="0" t="n">
        <f aca="false">IF(G712,1,0)</f>
        <v>1</v>
      </c>
      <c r="I712" s="0" t="n">
        <f aca="false">calc_cohort!$B$2*constant!$B$1*F712*H712</f>
        <v>0.159101530408593</v>
      </c>
      <c r="J712" s="0" t="n">
        <f aca="false">INDEX(table_spot_rate!B$1:B$2000,MATCH(A712,table_spot_rate!A$1:A$2000,0))</f>
        <v>0.0577776546934124</v>
      </c>
      <c r="K712" s="0" t="n">
        <f aca="false">(1+J712)^(-A712*constant!$B$1)</f>
        <v>0.0360300904521173</v>
      </c>
      <c r="L712" s="0" t="n">
        <f aca="false">K712*I712</f>
        <v>0.00573244253169189</v>
      </c>
    </row>
    <row r="713" customFormat="false" ht="12.8" hidden="false" customHeight="false" outlineLevel="0" collapsed="false">
      <c r="A713" s="0" t="n">
        <v>711</v>
      </c>
      <c r="B713" s="0" t="n">
        <f aca="false">calc_cohort!D$2+constant!$B$1*A713</f>
        <v>90.45</v>
      </c>
      <c r="C713" s="0" t="n">
        <f aca="false">_xlfn.FLOOR.MATH(B713)</f>
        <v>90</v>
      </c>
      <c r="D713" s="4" t="n">
        <f aca="false">INDEX(table_mortality_rate!$A$1:$C$2000,MATCH(C713,table_mortality_rate!$A$1:$A$2000,0),MATCH(calc_cohort!$E$2,table_mortality_rate!A$1:C$1,0))</f>
        <v>0.170247</v>
      </c>
      <c r="E713" s="0" t="n">
        <f aca="false">(1-D713)^constant!$B$1</f>
        <v>0.98456804426342</v>
      </c>
      <c r="F713" s="0" t="n">
        <f aca="false">IF(A713=0,1,F712*E713)</f>
        <v>0.152330258638936</v>
      </c>
      <c r="G713" s="5" t="b">
        <f aca="false">B713&gt;=calc_cohort!C$2</f>
        <v>1</v>
      </c>
      <c r="H713" s="0" t="n">
        <f aca="false">IF(G713,1,0)</f>
        <v>1</v>
      </c>
      <c r="I713" s="0" t="n">
        <f aca="false">calc_cohort!$B$2*constant!$B$1*F713*H713</f>
        <v>0.156646282633705</v>
      </c>
      <c r="J713" s="0" t="n">
        <f aca="false">INDEX(table_spot_rate!B$1:B$2000,MATCH(A713,table_spot_rate!A$1:A$2000,0))</f>
        <v>0.0563930759202863</v>
      </c>
      <c r="K713" s="0" t="n">
        <f aca="false">(1+J713)^(-A713*constant!$B$1)</f>
        <v>0.0387557727436336</v>
      </c>
      <c r="L713" s="0" t="n">
        <f aca="false">K713*I713</f>
        <v>0.00607094773088688</v>
      </c>
    </row>
    <row r="714" customFormat="false" ht="12.8" hidden="false" customHeight="false" outlineLevel="0" collapsed="false">
      <c r="A714" s="0" t="n">
        <v>712</v>
      </c>
      <c r="B714" s="0" t="n">
        <f aca="false">calc_cohort!D$2+constant!$B$1*A714</f>
        <v>90.5333333333333</v>
      </c>
      <c r="C714" s="0" t="n">
        <f aca="false">_xlfn.FLOOR.MATH(B714)</f>
        <v>90</v>
      </c>
      <c r="D714" s="4" t="n">
        <f aca="false">INDEX(table_mortality_rate!$A$1:$C$2000,MATCH(C714,table_mortality_rate!$A$1:$A$2000,0),MATCH(calc_cohort!$E$2,table_mortality_rate!A$1:C$1,0))</f>
        <v>0.170247</v>
      </c>
      <c r="E714" s="0" t="n">
        <f aca="false">(1-D714)^constant!$B$1</f>
        <v>0.98456804426342</v>
      </c>
      <c r="F714" s="0" t="n">
        <f aca="false">IF(A714=0,1,F713*E714)</f>
        <v>0.149979504830278</v>
      </c>
      <c r="G714" s="5" t="b">
        <f aca="false">B714&gt;=calc_cohort!C$2</f>
        <v>1</v>
      </c>
      <c r="H714" s="0" t="n">
        <f aca="false">IF(G714,1,0)</f>
        <v>1</v>
      </c>
      <c r="I714" s="0" t="n">
        <f aca="false">calc_cohort!$B$2*constant!$B$1*F714*H714</f>
        <v>0.154228924133802</v>
      </c>
      <c r="J714" s="0" t="n">
        <f aca="false">INDEX(table_spot_rate!B$1:B$2000,MATCH(A714,table_spot_rate!A$1:A$2000,0))</f>
        <v>0.0579868088971954</v>
      </c>
      <c r="K714" s="0" t="n">
        <f aca="false">(1+J714)^(-A714*constant!$B$1)</f>
        <v>0.0352780843810292</v>
      </c>
      <c r="L714" s="0" t="n">
        <f aca="false">K714*I714</f>
        <v>0.00544090099958762</v>
      </c>
    </row>
    <row r="715" customFormat="false" ht="12.8" hidden="false" customHeight="false" outlineLevel="0" collapsed="false">
      <c r="A715" s="0" t="n">
        <v>713</v>
      </c>
      <c r="B715" s="0" t="n">
        <f aca="false">calc_cohort!D$2+constant!$B$1*A715</f>
        <v>90.6166666666667</v>
      </c>
      <c r="C715" s="0" t="n">
        <f aca="false">_xlfn.FLOOR.MATH(B715)</f>
        <v>90</v>
      </c>
      <c r="D715" s="4" t="n">
        <f aca="false">INDEX(table_mortality_rate!$A$1:$C$2000,MATCH(C715,table_mortality_rate!$A$1:$A$2000,0),MATCH(calc_cohort!$E$2,table_mortality_rate!A$1:C$1,0))</f>
        <v>0.170247</v>
      </c>
      <c r="E715" s="0" t="n">
        <f aca="false">(1-D715)^constant!$B$1</f>
        <v>0.98456804426342</v>
      </c>
      <c r="F715" s="0" t="n">
        <f aca="false">IF(A715=0,1,F714*E715)</f>
        <v>0.147665027750343</v>
      </c>
      <c r="G715" s="5" t="b">
        <f aca="false">B715&gt;=calc_cohort!C$2</f>
        <v>1</v>
      </c>
      <c r="H715" s="0" t="n">
        <f aca="false">IF(G715,1,0)</f>
        <v>1</v>
      </c>
      <c r="I715" s="0" t="n">
        <f aca="false">calc_cohort!$B$2*constant!$B$1*F715*H715</f>
        <v>0.151848870203269</v>
      </c>
      <c r="J715" s="0" t="n">
        <f aca="false">INDEX(table_spot_rate!B$1:B$2000,MATCH(A715,table_spot_rate!A$1:A$2000,0))</f>
        <v>0.0516042343554775</v>
      </c>
      <c r="K715" s="0" t="n">
        <f aca="false">(1+J715)^(-A715*constant!$B$1)</f>
        <v>0.0503045908482551</v>
      </c>
      <c r="L715" s="0" t="n">
        <f aca="false">K715*I715</f>
        <v>0.00763869528634525</v>
      </c>
    </row>
    <row r="716" customFormat="false" ht="12.8" hidden="false" customHeight="false" outlineLevel="0" collapsed="false">
      <c r="A716" s="0" t="n">
        <v>714</v>
      </c>
      <c r="B716" s="0" t="n">
        <f aca="false">calc_cohort!D$2+constant!$B$1*A716</f>
        <v>90.7</v>
      </c>
      <c r="C716" s="0" t="n">
        <f aca="false">_xlfn.FLOOR.MATH(B716)</f>
        <v>90</v>
      </c>
      <c r="D716" s="4" t="n">
        <f aca="false">INDEX(table_mortality_rate!$A$1:$C$2000,MATCH(C716,table_mortality_rate!$A$1:$A$2000,0),MATCH(calc_cohort!$E$2,table_mortality_rate!A$1:C$1,0))</f>
        <v>0.170247</v>
      </c>
      <c r="E716" s="0" t="n">
        <f aca="false">(1-D716)^constant!$B$1</f>
        <v>0.98456804426342</v>
      </c>
      <c r="F716" s="0" t="n">
        <f aca="false">IF(A716=0,1,F715*E716)</f>
        <v>0.145386267578259</v>
      </c>
      <c r="G716" s="5" t="b">
        <f aca="false">B716&gt;=calc_cohort!C$2</f>
        <v>1</v>
      </c>
      <c r="H716" s="0" t="n">
        <f aca="false">IF(G716,1,0)</f>
        <v>1</v>
      </c>
      <c r="I716" s="0" t="n">
        <f aca="false">calc_cohort!$B$2*constant!$B$1*F716*H716</f>
        <v>0.149505545159643</v>
      </c>
      <c r="J716" s="0" t="n">
        <f aca="false">INDEX(table_spot_rate!B$1:B$2000,MATCH(A716,table_spot_rate!A$1:A$2000,0))</f>
        <v>0.0588887361277092</v>
      </c>
      <c r="K716" s="0" t="n">
        <f aca="false">(1+J716)^(-A716*constant!$B$1)</f>
        <v>0.033220445448931</v>
      </c>
      <c r="L716" s="0" t="n">
        <f aca="false">K716*I716</f>
        <v>0.00496664080728859</v>
      </c>
    </row>
    <row r="717" customFormat="false" ht="12.8" hidden="false" customHeight="false" outlineLevel="0" collapsed="false">
      <c r="A717" s="0" t="n">
        <v>715</v>
      </c>
      <c r="B717" s="0" t="n">
        <f aca="false">calc_cohort!D$2+constant!$B$1*A717</f>
        <v>90.7833333333333</v>
      </c>
      <c r="C717" s="0" t="n">
        <f aca="false">_xlfn.FLOOR.MATH(B717)</f>
        <v>90</v>
      </c>
      <c r="D717" s="4" t="n">
        <f aca="false">INDEX(table_mortality_rate!$A$1:$C$2000,MATCH(C717,table_mortality_rate!$A$1:$A$2000,0),MATCH(calc_cohort!$E$2,table_mortality_rate!A$1:C$1,0))</f>
        <v>0.170247</v>
      </c>
      <c r="E717" s="0" t="n">
        <f aca="false">(1-D717)^constant!$B$1</f>
        <v>0.98456804426342</v>
      </c>
      <c r="F717" s="0" t="n">
        <f aca="false">IF(A717=0,1,F716*E717)</f>
        <v>0.143142673132284</v>
      </c>
      <c r="G717" s="5" t="b">
        <f aca="false">B717&gt;=calc_cohort!C$2</f>
        <v>1</v>
      </c>
      <c r="H717" s="0" t="n">
        <f aca="false">IF(G717,1,0)</f>
        <v>1</v>
      </c>
      <c r="I717" s="0" t="n">
        <f aca="false">calc_cohort!$B$2*constant!$B$1*F717*H717</f>
        <v>0.147198382204366</v>
      </c>
      <c r="J717" s="0" t="n">
        <f aca="false">INDEX(table_spot_rate!B$1:B$2000,MATCH(A717,table_spot_rate!A$1:A$2000,0))</f>
        <v>0.0542996467700332</v>
      </c>
      <c r="K717" s="0" t="n">
        <f aca="false">(1+J717)^(-A717*constant!$B$1)</f>
        <v>0.0428276946855961</v>
      </c>
      <c r="L717" s="0" t="n">
        <f aca="false">K717*I717</f>
        <v>0.00630416737126226</v>
      </c>
    </row>
    <row r="718" customFormat="false" ht="12.8" hidden="false" customHeight="false" outlineLevel="0" collapsed="false">
      <c r="A718" s="0" t="n">
        <v>716</v>
      </c>
      <c r="B718" s="0" t="n">
        <f aca="false">calc_cohort!D$2+constant!$B$1*A718</f>
        <v>90.8666666666667</v>
      </c>
      <c r="C718" s="0" t="n">
        <f aca="false">_xlfn.FLOOR.MATH(B718)</f>
        <v>90</v>
      </c>
      <c r="D718" s="4" t="n">
        <f aca="false">INDEX(table_mortality_rate!$A$1:$C$2000,MATCH(C718,table_mortality_rate!$A$1:$A$2000,0),MATCH(calc_cohort!$E$2,table_mortality_rate!A$1:C$1,0))</f>
        <v>0.170247</v>
      </c>
      <c r="E718" s="0" t="n">
        <f aca="false">(1-D718)^constant!$B$1</f>
        <v>0.98456804426342</v>
      </c>
      <c r="F718" s="0" t="n">
        <f aca="false">IF(A718=0,1,F717*E718)</f>
        <v>0.140933701736491</v>
      </c>
      <c r="G718" s="5" t="b">
        <f aca="false">B718&gt;=calc_cohort!C$2</f>
        <v>1</v>
      </c>
      <c r="H718" s="0" t="n">
        <f aca="false">IF(G718,1,0)</f>
        <v>1</v>
      </c>
      <c r="I718" s="0" t="n">
        <f aca="false">calc_cohort!$B$2*constant!$B$1*F718*H718</f>
        <v>0.144926823285692</v>
      </c>
      <c r="J718" s="0" t="n">
        <f aca="false">INDEX(table_spot_rate!B$1:B$2000,MATCH(A718,table_spot_rate!A$1:A$2000,0))</f>
        <v>0.0567198611639336</v>
      </c>
      <c r="K718" s="0" t="n">
        <f aca="false">(1+J718)^(-A718*constant!$B$1)</f>
        <v>0.037187280245696</v>
      </c>
      <c r="L718" s="0" t="n">
        <f aca="false">K718*I718</f>
        <v>0.00538943439264348</v>
      </c>
    </row>
    <row r="719" customFormat="false" ht="12.8" hidden="false" customHeight="false" outlineLevel="0" collapsed="false">
      <c r="A719" s="0" t="n">
        <v>717</v>
      </c>
      <c r="B719" s="0" t="n">
        <f aca="false">calc_cohort!D$2+constant!$B$1*A719</f>
        <v>90.95</v>
      </c>
      <c r="C719" s="0" t="n">
        <f aca="false">_xlfn.FLOOR.MATH(B719)</f>
        <v>90</v>
      </c>
      <c r="D719" s="4" t="n">
        <f aca="false">INDEX(table_mortality_rate!$A$1:$C$2000,MATCH(C719,table_mortality_rate!$A$1:$A$2000,0),MATCH(calc_cohort!$E$2,table_mortality_rate!A$1:C$1,0))</f>
        <v>0.170247</v>
      </c>
      <c r="E719" s="0" t="n">
        <f aca="false">(1-D719)^constant!$B$1</f>
        <v>0.98456804426342</v>
      </c>
      <c r="F719" s="0" t="n">
        <f aca="false">IF(A719=0,1,F718*E719)</f>
        <v>0.138758819089501</v>
      </c>
      <c r="G719" s="5" t="b">
        <f aca="false">B719&gt;=calc_cohort!C$2</f>
        <v>1</v>
      </c>
      <c r="H719" s="0" t="n">
        <f aca="false">IF(G719,1,0)</f>
        <v>1</v>
      </c>
      <c r="I719" s="0" t="n">
        <f aca="false">calc_cohort!$B$2*constant!$B$1*F719*H719</f>
        <v>0.142690318963704</v>
      </c>
      <c r="J719" s="0" t="n">
        <f aca="false">INDEX(table_spot_rate!B$1:B$2000,MATCH(A719,table_spot_rate!A$1:A$2000,0))</f>
        <v>0.0562637435491273</v>
      </c>
      <c r="K719" s="0" t="n">
        <f aca="false">(1+J719)^(-A719*constant!$B$1)</f>
        <v>0.0379840024098061</v>
      </c>
      <c r="L719" s="0" t="n">
        <f aca="false">K719*I719</f>
        <v>0.00541994941937333</v>
      </c>
    </row>
    <row r="720" customFormat="false" ht="12.8" hidden="false" customHeight="false" outlineLevel="0" collapsed="false">
      <c r="A720" s="0" t="n">
        <v>718</v>
      </c>
      <c r="B720" s="0" t="n">
        <f aca="false">calc_cohort!D$2+constant!$B$1*A720</f>
        <v>91.0333333333333</v>
      </c>
      <c r="C720" s="0" t="n">
        <f aca="false">_xlfn.FLOOR.MATH(B720)</f>
        <v>91</v>
      </c>
      <c r="D720" s="4" t="n">
        <f aca="false">INDEX(table_mortality_rate!$A$1:$C$2000,MATCH(C720,table_mortality_rate!$A$1:$A$2000,0),MATCH(calc_cohort!$E$2,table_mortality_rate!A$1:C$1,0))</f>
        <v>0.184714</v>
      </c>
      <c r="E720" s="0" t="n">
        <f aca="false">(1-D720)^constant!$B$1</f>
        <v>0.983125963051792</v>
      </c>
      <c r="F720" s="0" t="n">
        <f aca="false">IF(A720=0,1,F719*E720)</f>
        <v>0.136417397649296</v>
      </c>
      <c r="G720" s="5" t="b">
        <f aca="false">B720&gt;=calc_cohort!C$2</f>
        <v>1</v>
      </c>
      <c r="H720" s="0" t="n">
        <f aca="false">IF(G720,1,0)</f>
        <v>1</v>
      </c>
      <c r="I720" s="0" t="n">
        <f aca="false">calc_cohort!$B$2*constant!$B$1*F720*H720</f>
        <v>0.140282557249359</v>
      </c>
      <c r="J720" s="0" t="n">
        <f aca="false">INDEX(table_spot_rate!B$1:B$2000,MATCH(A720,table_spot_rate!A$1:A$2000,0))</f>
        <v>0.0562547124941135</v>
      </c>
      <c r="K720" s="0" t="n">
        <f aca="false">(1+J720)^(-A720*constant!$B$1)</f>
        <v>0.0378304814960515</v>
      </c>
      <c r="L720" s="0" t="n">
        <f aca="false">K720*I720</f>
        <v>0.00530695668624065</v>
      </c>
    </row>
    <row r="721" customFormat="false" ht="12.8" hidden="false" customHeight="false" outlineLevel="0" collapsed="false">
      <c r="A721" s="0" t="n">
        <v>719</v>
      </c>
      <c r="B721" s="0" t="n">
        <f aca="false">calc_cohort!D$2+constant!$B$1*A721</f>
        <v>91.1166666666667</v>
      </c>
      <c r="C721" s="0" t="n">
        <f aca="false">_xlfn.FLOOR.MATH(B721)</f>
        <v>91</v>
      </c>
      <c r="D721" s="4" t="n">
        <f aca="false">INDEX(table_mortality_rate!$A$1:$C$2000,MATCH(C721,table_mortality_rate!$A$1:$A$2000,0),MATCH(calc_cohort!$E$2,table_mortality_rate!A$1:C$1,0))</f>
        <v>0.184714</v>
      </c>
      <c r="E721" s="0" t="n">
        <f aca="false">(1-D721)^constant!$B$1</f>
        <v>0.983125963051792</v>
      </c>
      <c r="F721" s="0" t="n">
        <f aca="false">IF(A721=0,1,F720*E721)</f>
        <v>0.134115485440983</v>
      </c>
      <c r="G721" s="5" t="b">
        <f aca="false">B721&gt;=calc_cohort!C$2</f>
        <v>1</v>
      </c>
      <c r="H721" s="0" t="n">
        <f aca="false">IF(G721,1,0)</f>
        <v>1</v>
      </c>
      <c r="I721" s="0" t="n">
        <f aca="false">calc_cohort!$B$2*constant!$B$1*F721*H721</f>
        <v>0.137915424195144</v>
      </c>
      <c r="J721" s="0" t="n">
        <f aca="false">INDEX(table_spot_rate!B$1:B$2000,MATCH(A721,table_spot_rate!A$1:A$2000,0))</f>
        <v>0.0575480534532927</v>
      </c>
      <c r="K721" s="0" t="n">
        <f aca="false">(1+J721)^(-A721*constant!$B$1)</f>
        <v>0.0349959990998337</v>
      </c>
      <c r="L721" s="0" t="n">
        <f aca="false">K721*I721</f>
        <v>0.00482648806098644</v>
      </c>
    </row>
    <row r="722" customFormat="false" ht="12.8" hidden="false" customHeight="false" outlineLevel="0" collapsed="false">
      <c r="A722" s="0" t="n">
        <v>720</v>
      </c>
      <c r="B722" s="0" t="n">
        <f aca="false">calc_cohort!D$2+constant!$B$1*A722</f>
        <v>91.2</v>
      </c>
      <c r="C722" s="0" t="n">
        <f aca="false">_xlfn.FLOOR.MATH(B722)</f>
        <v>91</v>
      </c>
      <c r="D722" s="4" t="n">
        <f aca="false">INDEX(table_mortality_rate!$A$1:$C$2000,MATCH(C722,table_mortality_rate!$A$1:$A$2000,0),MATCH(calc_cohort!$E$2,table_mortality_rate!A$1:C$1,0))</f>
        <v>0.184714</v>
      </c>
      <c r="E722" s="0" t="n">
        <f aca="false">(1-D722)^constant!$B$1</f>
        <v>0.983125963051792</v>
      </c>
      <c r="F722" s="0" t="n">
        <f aca="false">IF(A722=0,1,F721*E722)</f>
        <v>0.131852415784325</v>
      </c>
      <c r="G722" s="5" t="b">
        <f aca="false">B722&gt;=calc_cohort!C$2</f>
        <v>1</v>
      </c>
      <c r="H722" s="0" t="n">
        <f aca="false">IF(G722,1,0)</f>
        <v>1</v>
      </c>
      <c r="I722" s="0" t="n">
        <f aca="false">calc_cohort!$B$2*constant!$B$1*F722*H722</f>
        <v>0.135588234231548</v>
      </c>
      <c r="J722" s="0" t="n">
        <f aca="false">INDEX(table_spot_rate!B$1:B$2000,MATCH(A722,table_spot_rate!A$1:A$2000,0))</f>
        <v>0.0593988536200825</v>
      </c>
      <c r="K722" s="0" t="n">
        <f aca="false">(1+J722)^(-A722*constant!$B$1)</f>
        <v>0.0313639014899456</v>
      </c>
      <c r="L722" s="0" t="n">
        <f aca="false">K722*I722</f>
        <v>0.00425257602163393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2026-02-15T07:00:44Z</dcterms:modified>
  <cp:revision>6</cp:revision>
  <dc:subject/>
  <dc:title/>
</cp:coreProperties>
</file>